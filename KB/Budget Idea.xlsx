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delrio/Documents/Puelche/Crea y Valida/KB/"/>
    </mc:Choice>
  </mc:AlternateContent>
  <xr:revisionPtr revIDLastSave="0" documentId="8_{87F5C7C6-75B9-8D4D-8E40-E53EE54C5E7D}" xr6:coauthVersionLast="47" xr6:coauthVersionMax="47" xr10:uidLastSave="{00000000-0000-0000-0000-000000000000}"/>
  <bookViews>
    <workbookView xWindow="5980" yWindow="2800" windowWidth="27240" windowHeight="16440" xr2:uid="{038EFE13-8B22-1047-BFCE-8BBFE4D02F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18" i="1"/>
  <c r="H8" i="1"/>
  <c r="G12" i="1"/>
  <c r="G13" i="1"/>
  <c r="H12" i="1"/>
  <c r="H13" i="1"/>
  <c r="H16" i="1"/>
  <c r="H15" i="1"/>
  <c r="H9" i="1"/>
  <c r="G11" i="1"/>
  <c r="G10" i="1"/>
  <c r="H10" i="1"/>
  <c r="L5" i="1"/>
  <c r="H11" i="1"/>
  <c r="H7" i="1"/>
  <c r="H6" i="1"/>
  <c r="G4" i="1" l="1"/>
  <c r="M5" i="1" s="1"/>
  <c r="H4" i="1"/>
  <c r="M4" i="1" s="1"/>
  <c r="K2" i="1" l="1"/>
  <c r="I13" i="1" s="1"/>
  <c r="M2" i="1" l="1"/>
  <c r="I15" i="1"/>
  <c r="I18" i="1"/>
  <c r="I16" i="1"/>
</calcChain>
</file>

<file path=xl/sharedStrings.xml><?xml version="1.0" encoding="utf-8"?>
<sst xmlns="http://schemas.openxmlformats.org/spreadsheetml/2006/main" count="19" uniqueCount="18">
  <si>
    <t>Horas/mes</t>
  </si>
  <si>
    <t>Cargo</t>
  </si>
  <si>
    <t>meses</t>
  </si>
  <si>
    <t>Ingeniero ML</t>
  </si>
  <si>
    <t>Full-stack</t>
  </si>
  <si>
    <t>Oficina</t>
  </si>
  <si>
    <t>Gastos Operacionales</t>
  </si>
  <si>
    <t>CENIA</t>
  </si>
  <si>
    <t xml:space="preserve">Gastos de Administración </t>
  </si>
  <si>
    <t>ML Trainee</t>
  </si>
  <si>
    <t>Director / Líder Técnico</t>
  </si>
  <si>
    <t>Director Alterno / Investigador Principal</t>
  </si>
  <si>
    <t>CORFO</t>
  </si>
  <si>
    <t>ANID</t>
  </si>
  <si>
    <t>pago cenia</t>
  </si>
  <si>
    <t>pago fondo</t>
  </si>
  <si>
    <t>Contraparte Técnica de Validación</t>
  </si>
  <si>
    <t>Usuario Experto para Pilotaje y Retroalimentación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</si>
</sst>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* #,##0_-;\-&quot;$&quot;* #,##0_-;_-&quot;$&quot;* &quot;-&quot;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42" fontId="0" fillId="0" borderId="0" xfId="1" applyFont="1"/>
    <xf numFmtId="42" fontId="0" fillId="0" borderId="0" xfId="0" applyNumberFormat="1"/>
    <xf numFmtId="9" fontId="0" fillId="0" borderId="0" xfId="2" applyFont="1"/>
    <xf numFmtId="10" fontId="0" fillId="0" borderId="0" xfId="2" applyNumberFormat="1" applyFont="1"/>
    <xf numFmtId="42" fontId="2" fillId="0" borderId="0" xfId="1" applyFont="1"/>
    <xf numFmtId="0" fontId="2" fillId="0" borderId="0" xfId="0" applyFont="1"/>
    <xf numFmtId="42" fontId="3" fillId="0" borderId="0" xfId="0" applyNumberFormat="1" applyFont="1"/>
    <xf numFmtId="0" fontId="3" fillId="0" borderId="0" xfId="0" applyFont="1"/>
  </cellXfs>
  <cellStyles count="3">
    <cellStyle name="Currency [0]" xfId="1" builtinId="7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D71B-C8EE-0A47-BBAA-367E8A51B0EF}">
  <dimension ref="B2:M25"/>
  <sheetViews>
    <sheetView tabSelected="1" workbookViewId="0">
      <selection activeCell="D14" sqref="D14"/>
    </sheetView>
  </sheetViews>
  <sheetFormatPr baseColWidth="10" defaultRowHeight="16" x14ac:dyDescent="0.2"/>
  <cols>
    <col min="2" max="2" width="41.33203125" bestFit="1" customWidth="1"/>
    <col min="6" max="6" width="11.5" bestFit="1" customWidth="1"/>
    <col min="7" max="7" width="12.5" bestFit="1" customWidth="1"/>
    <col min="8" max="8" width="13.5" style="1" bestFit="1" customWidth="1"/>
    <col min="9" max="9" width="13.5" bestFit="1" customWidth="1"/>
    <col min="10" max="10" width="13.5" customWidth="1"/>
    <col min="11" max="13" width="13.5" bestFit="1" customWidth="1"/>
  </cols>
  <sheetData>
    <row r="2" spans="2:13" x14ac:dyDescent="0.2">
      <c r="G2" s="6" t="s">
        <v>7</v>
      </c>
      <c r="H2" s="5" t="s">
        <v>13</v>
      </c>
      <c r="K2" s="2">
        <f>G4+H4</f>
        <v>225000000</v>
      </c>
      <c r="L2" s="1">
        <v>225000000</v>
      </c>
      <c r="M2" s="2">
        <f>L2-K2</f>
        <v>0</v>
      </c>
    </row>
    <row r="3" spans="2:13" x14ac:dyDescent="0.2">
      <c r="H3" s="5"/>
      <c r="L3" s="1"/>
    </row>
    <row r="4" spans="2:13" x14ac:dyDescent="0.2">
      <c r="B4" s="6" t="s">
        <v>12</v>
      </c>
      <c r="G4" s="5">
        <f>SUM(G6:G18)</f>
        <v>45000000</v>
      </c>
      <c r="H4" s="5">
        <f>SUM(H6:H18)</f>
        <v>180000000</v>
      </c>
      <c r="L4" s="1">
        <v>180000000</v>
      </c>
      <c r="M4" s="2">
        <f>L4-H4</f>
        <v>0</v>
      </c>
    </row>
    <row r="5" spans="2:13" x14ac:dyDescent="0.2">
      <c r="B5" t="s">
        <v>1</v>
      </c>
      <c r="C5" t="s">
        <v>0</v>
      </c>
      <c r="D5" t="s">
        <v>2</v>
      </c>
      <c r="E5" t="s">
        <v>14</v>
      </c>
      <c r="F5" t="s">
        <v>15</v>
      </c>
      <c r="L5" s="2">
        <f>L2-L4</f>
        <v>45000000</v>
      </c>
      <c r="M5" s="2">
        <f>L5-G4</f>
        <v>0</v>
      </c>
    </row>
    <row r="6" spans="2:13" x14ac:dyDescent="0.2">
      <c r="B6" t="s">
        <v>3</v>
      </c>
      <c r="C6">
        <v>176</v>
      </c>
      <c r="D6">
        <v>15</v>
      </c>
      <c r="F6" s="1">
        <v>2552000</v>
      </c>
      <c r="G6" s="1">
        <f t="shared" ref="G6:G9" si="0">D6*E6</f>
        <v>0</v>
      </c>
      <c r="H6" s="1">
        <f>F6*D6</f>
        <v>38280000</v>
      </c>
      <c r="I6" s="3"/>
      <c r="J6" s="2"/>
      <c r="K6" s="3"/>
    </row>
    <row r="7" spans="2:13" x14ac:dyDescent="0.2">
      <c r="B7" t="s">
        <v>4</v>
      </c>
      <c r="C7">
        <v>176</v>
      </c>
      <c r="D7">
        <v>15</v>
      </c>
      <c r="F7" s="1">
        <v>2552000</v>
      </c>
      <c r="G7" s="1">
        <f t="shared" si="0"/>
        <v>0</v>
      </c>
      <c r="H7" s="1">
        <f>F7*D7</f>
        <v>38280000</v>
      </c>
      <c r="I7" s="3"/>
    </row>
    <row r="8" spans="2:13" x14ac:dyDescent="0.2">
      <c r="B8" t="s">
        <v>9</v>
      </c>
      <c r="C8">
        <v>176</v>
      </c>
      <c r="D8">
        <v>15</v>
      </c>
      <c r="F8" s="1">
        <v>600000</v>
      </c>
      <c r="G8" s="1">
        <f t="shared" si="0"/>
        <v>0</v>
      </c>
      <c r="H8" s="1">
        <f>F8*D8</f>
        <v>9000000</v>
      </c>
      <c r="I8" s="3"/>
    </row>
    <row r="9" spans="2:13" x14ac:dyDescent="0.2">
      <c r="B9" t="s">
        <v>9</v>
      </c>
      <c r="C9">
        <v>176</v>
      </c>
      <c r="D9">
        <v>15</v>
      </c>
      <c r="F9" s="1">
        <v>600000</v>
      </c>
      <c r="G9" s="1">
        <f t="shared" si="0"/>
        <v>0</v>
      </c>
      <c r="H9" s="1">
        <f>F9*D9</f>
        <v>9000000</v>
      </c>
      <c r="I9" s="3"/>
    </row>
    <row r="10" spans="2:13" x14ac:dyDescent="0.2">
      <c r="B10" t="s">
        <v>10</v>
      </c>
      <c r="C10">
        <v>36</v>
      </c>
      <c r="D10">
        <v>24</v>
      </c>
      <c r="E10" s="1"/>
      <c r="F10" s="1">
        <v>500000</v>
      </c>
      <c r="G10" s="1">
        <f>D10*E10</f>
        <v>0</v>
      </c>
      <c r="H10" s="1">
        <f>F10*D10</f>
        <v>12000000</v>
      </c>
      <c r="I10" s="3"/>
    </row>
    <row r="11" spans="2:13" x14ac:dyDescent="0.2">
      <c r="B11" t="s">
        <v>11</v>
      </c>
      <c r="C11">
        <v>36</v>
      </c>
      <c r="D11">
        <v>24</v>
      </c>
      <c r="E11" s="1"/>
      <c r="F11" s="1">
        <v>500000</v>
      </c>
      <c r="G11" s="1">
        <f>D11*E11</f>
        <v>0</v>
      </c>
      <c r="H11" s="1">
        <f>F11*D11</f>
        <v>12000000</v>
      </c>
    </row>
    <row r="12" spans="2:13" x14ac:dyDescent="0.2">
      <c r="B12" t="s">
        <v>16</v>
      </c>
      <c r="C12">
        <v>60</v>
      </c>
      <c r="D12">
        <v>24</v>
      </c>
      <c r="E12" s="1">
        <v>600000</v>
      </c>
      <c r="F12" s="1"/>
      <c r="G12" s="1">
        <f t="shared" ref="G12:G13" si="1">D12*E12</f>
        <v>14400000</v>
      </c>
      <c r="H12" s="1">
        <f t="shared" ref="H12:H13" si="2">F12*D12</f>
        <v>0</v>
      </c>
      <c r="I12" s="3"/>
    </row>
    <row r="13" spans="2:13" x14ac:dyDescent="0.2">
      <c r="B13" t="s">
        <v>17</v>
      </c>
      <c r="C13">
        <v>60</v>
      </c>
      <c r="D13">
        <v>24</v>
      </c>
      <c r="E13" s="1">
        <v>600000</v>
      </c>
      <c r="F13" s="1"/>
      <c r="G13" s="1">
        <f t="shared" si="1"/>
        <v>14400000</v>
      </c>
      <c r="H13" s="1">
        <f t="shared" si="2"/>
        <v>0</v>
      </c>
      <c r="I13" s="3">
        <f>SUM(G6:H13)/$K$2</f>
        <v>0.65493333333333337</v>
      </c>
    </row>
    <row r="14" spans="2:13" x14ac:dyDescent="0.2">
      <c r="I14" s="3"/>
    </row>
    <row r="15" spans="2:13" x14ac:dyDescent="0.2">
      <c r="B15" t="s">
        <v>8</v>
      </c>
      <c r="H15" s="1">
        <f>10%*180000000</f>
        <v>18000000</v>
      </c>
      <c r="I15" s="3">
        <f>(H15+G15)/$K$2</f>
        <v>0.08</v>
      </c>
      <c r="K15" s="4"/>
    </row>
    <row r="16" spans="2:13" x14ac:dyDescent="0.2">
      <c r="B16" t="s">
        <v>6</v>
      </c>
      <c r="H16" s="1">
        <f>23640000+27720000-9000000+1080000</f>
        <v>43440000</v>
      </c>
      <c r="I16" s="3">
        <f>(H16+G16)/$K$2</f>
        <v>0.19306666666666666</v>
      </c>
      <c r="K16" s="4"/>
    </row>
    <row r="17" spans="2:13" x14ac:dyDescent="0.2">
      <c r="I17" s="3"/>
    </row>
    <row r="18" spans="2:13" x14ac:dyDescent="0.2">
      <c r="B18" t="s">
        <v>5</v>
      </c>
      <c r="G18" s="1">
        <f>16200000</f>
        <v>16200000</v>
      </c>
      <c r="I18" s="3">
        <f>(H18+G18)/$K$2</f>
        <v>7.1999999999999995E-2</v>
      </c>
    </row>
    <row r="22" spans="2:13" x14ac:dyDescent="0.2">
      <c r="M22" s="2"/>
    </row>
    <row r="25" spans="2:13" x14ac:dyDescent="0.2">
      <c r="H25" s="7"/>
      <c r="I25" s="8"/>
      <c r="J25" s="8"/>
      <c r="K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Del Río Rebolledo</dc:creator>
  <cp:lastModifiedBy>Felipe Del Río Rebolledo</cp:lastModifiedBy>
  <dcterms:created xsi:type="dcterms:W3CDTF">2026-06-04T22:52:30Z</dcterms:created>
  <dcterms:modified xsi:type="dcterms:W3CDTF">2026-06-09T18:37:28Z</dcterms:modified>
</cp:coreProperties>
</file>