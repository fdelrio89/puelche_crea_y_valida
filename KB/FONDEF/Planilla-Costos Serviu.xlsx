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ECEDENTES" sheetId="1" r:id="rId4"/>
    <sheet state="visible" name="DETALLE GASTOS" sheetId="2" r:id="rId5"/>
    <sheet state="visible" name="REITEMIZACIONES SIA" sheetId="3" r:id="rId6"/>
    <sheet state="visible" name="REITEMIZACIONES APORTES" sheetId="4" r:id="rId7"/>
  </sheets>
  <definedNames/>
  <calcPr/>
  <extLst>
    <ext uri="GoogleSheetsCustomDataVersion2">
      <go:sheetsCustomData xmlns:go="http://customooxmlschemas.google.com/" r:id="rId8" roundtripDataChecksum="0Msu8VHErZxNZg+Dl4YhH9yRlct5NBCsDWXkqJoh5F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
ID#AAABykgGW3Q
Consuelo Bruno Urbina    (2026-01-15 03:51:23)
A completar una vez adjudicado.
Al momento de la postulación puede dejar este campo en blanco.</t>
      </text>
    </comment>
    <comment authorId="0" ref="A10">
      <text>
        <t xml:space="preserve">======
ID#AAABykgGW2U
Consuelo Bruno Urbina    (2026-01-15 03:51:23)
Obligatorio sólo para proyectos de interés público.
En los proyectos de interés público donde se postule con solo una entidad asociada, ésta deberá tener el rol de Mandante.</t>
      </text>
    </comment>
    <comment authorId="0" ref="A9">
      <text>
        <t xml:space="preserve">======
ID#AAABykgGW2Q
Consuelo Bruno Urbina    (2026-01-15 03:51:23)
Deberán participar un mínimo de uno y hasta un máximo de tres entidades asociadas por proyecto.
Todas las entidades asociadas deberán comprometer y realizar aportes al proyecto, sean estos incrementales o no incrementales.</t>
      </text>
    </comment>
    <comment authorId="0" ref="A7">
      <text>
        <t xml:space="preserve">======
ID#AAABykgGW2M
Pedro Cotal Zuniga    (2026-01-15 03:51:23)
Indique el nombre de la entidad que participan como BENEFICIARIA PRINCIAL del proyecto.</t>
      </text>
    </comment>
    <comment authorId="0" ref="A11">
      <text>
        <t xml:space="preserve">======
ID#AAABykgGW14
Consuelo Bruno Urbina    (2026-01-15 03:51:23)
Son entidades que ponen a disposición del proyecto capacidades y know-how para facilitar su ejecución. El aporte de la entidad colaboradora no será exigible en el seguimiento financiero del proyecto.</t>
      </text>
    </comment>
    <comment authorId="0" ref="B14">
      <text>
        <t xml:space="preserve">======
ID#AAABykgGW1g
Consuelo Bruno Urbina    (2026-01-15 03:51:23)
Digite el monto solicitado a ANID correspondiente al total ingresado en plataforma de postulación.
El financiamiento máximo de ANID será de hasta $237 millones de pesos.</t>
      </text>
    </comment>
    <comment authorId="0" ref="B15">
      <text>
        <t xml:space="preserve">======
ID#AAABykgGW08
Consuelo Bruno Urbina    (2026-01-15 03:51:23)
Digite el monto total comprometido por las beneficiarias según cartas de compromiso.
Los proyectos deberán ser cofinanciados por la(s) Institución(es) Beneficiaria(s) a lo menos en un 15% del monto solicitado como subsidio a la ANID</t>
      </text>
    </comment>
    <comment authorId="0" ref="A8">
      <text>
        <t xml:space="preserve">======
ID#AAABykgGW04
Pedro Cotal Zuniga    (2026-01-15 03:51:23)
Son entidades elegibles que complementan las capacidades de la beneficiaria principal para la correcta ejecución del proyecto. 
Cada una de las beneficiarias secundarias deberá disponer de al menos un 20% del subsidio solicitado a la ANID por el proyecto.</t>
      </text>
    </comment>
    <comment authorId="0" ref="B16">
      <text>
        <t xml:space="preserve">======
ID#AAABykgGW0w
Consuelo Bruno Urbina    (2026-01-15 03:51:23)
Digite el monto total comprometido por las entidades asociadas según cartas de compromiso.
Mínimo 30% del subsidio como aporte de las entidades asociadas.</t>
      </text>
    </comment>
  </commentList>
  <extLst>
    <ext uri="GoogleSheetsCustomDataVersion2">
      <go:sheetsCustomData xmlns:go="http://customooxmlschemas.google.com/" r:id="rId1" roundtripDataSignature="AMtx7mi4EaOMDteaIBVCydTz9R+5RAWWC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8">
      <text>
        <t xml:space="preserve">======
ID#AAABykgGW3o
Pedro Cotal Zuniga    (2026-01-15 03:51:23)
Sólo se podrá aplicar este pago a personal preexistente cuya remuneración bruta mensual (según contrato con la beneficiaria) sea menor a $2.700.000.</t>
      </text>
    </comment>
    <comment authorId="0" ref="A75">
      <text>
        <t xml:space="preserve">======
ID#AAABykgGW3k
Pedro Cotal Zuniga    (2026-01-15 03:51:23)
Los gastos de administración indirectos (overhead o gastos de administración superior) no podrán ser superior al 15% de lo solicitado como subsidio ANID al proyecto. En caso de postular con más de una beneficiaria, cada una de las beneficiarias debe cumplir con el porcentaje máximo exigido.</t>
      </text>
    </comment>
    <comment authorId="0" ref="A25">
      <text>
        <t xml:space="preserve">======
ID#AAABykgGW3g
Pedro Cotal Zuniga    (2026-01-15 03:51:23)
Se podrá reconocer un pago adicional al sueldo base en caso de personal preexistente con una dedicación mínima de 36hrs/mes. El monto máximo mensual a pagar por persona por este concepto no deberá exceder los $600.000 bruto y no podrá superar al monto aportado por la institución por concepto de remuneraciones para cada persona.</t>
      </text>
    </comment>
    <comment authorId="0" ref="A69">
      <text>
        <t xml:space="preserve">======
ID#AAABykgGW3c
Pedro Cotal Zuniga    (2026-01-15 03:51:23)
una línea por viaje de diferente destino</t>
      </text>
    </comment>
    <comment authorId="0" ref="A16">
      <text>
        <t xml:space="preserve">======
ID#AAABykgGW3Y
Pedro Cotal Zuniga    (2026-01-15 03:51:23)
Sólo se podrá aplicar este pago al personal preexistente cuya remuneración bruta mensual (según contrato con la beneficiaria) sea menor o igual a $2.700.000.-, para una dedicación completa (160 hrs.), desde este tope se calcula el proporcional en caso de trabajar menos horas.
Se podrá financiar con cargo al subsidio la remuneración completa o una proporción de la misma cuando su remuneración mensual bruta sea menor a $2.700.000. Este monto máximo aplicará para aquellos que tengan una dedicación por jornada completa de 160hrs/mensuales destinadas al proyecto. En el caso de personal cuya dedicación sea entre 80 y 159hrs/mes, podrán estimar un pago proporcional en función de la dedicación efectiva comprometida al proyecto. En ningún caso la dedicación al proyecto bajo esta modalidad de pago de remuneración mensual podrá ser menor a las 80 horas/mes.</t>
      </text>
    </comment>
    <comment authorId="0" ref="D18">
      <text>
        <t xml:space="preserve">======
ID#AAABykgGW3U
Pedro Cotal Zuniga    (2026-01-15 03:51:23)
Sólo se podrá aplicar este pago al personal preexistente cuya remuneración bruta mensual (según contrato con la beneficiaria) sea menor o igual a $2.700.000.-, para una dedicación completa (160 hrs.), desde este tope se calcula el proporcional en caso de trabajar menos horas.
Se podrá financiar la remuneración completa o una proporción de la misma cuando su remuneración mensual bruta sea menor a $2.700.000. Este monto máximo aplicará para aquellos que tengan una dedicación por jornada completa de 160hrs/mensuales destinadas al proyecto. En el caso de personal cuya dedicación sea entre 80 y 159hrs/mes, podrán estimar un pago proporcional en función de la dedicación efectiva comprometida al proyecto. En ningún caso la dedicación al proyecto bajo esta modalidad de pago de remuneración mensual podrá ser menor a las 80 horas/mes.</t>
      </text>
    </comment>
    <comment authorId="0" ref="B63">
      <text>
        <t xml:space="preserve">======
ID#AAABykgGW3M
Pedro Cotal Zuniga    (2026-01-15 03:51:23)
Indique el nombre de la institución beneficiaria que realiza el gasto o el nombre de la entidad asociada, en el caso de corresponder a un aporte incremental o no incremental.
Agregue filas en función de las instituciones beneficiarias principales, secundarias y asociadas.</t>
      </text>
    </comment>
    <comment authorId="0" ref="I53">
      <text>
        <t xml:space="preserve">======
ID#AAABykgGW3I
Pedro Cotal Zuniga    (2026-01-15 03:51:23)
Debe distribuir el COSTO TOTAL en estas columnas a fin de definir cuál es la fuente de financiamiento del gasto o aporte.</t>
      </text>
    </comment>
    <comment authorId="0" ref="H6">
      <text>
        <t xml:space="preserve">======
ID#AAABykgGW3E
Pedro Cotal Zuniga    (2026-01-15 03:51:23)
Debe distribuir el COSTO TOTAL en estas columnas a fin de definir cuál es la fuente de financiamiento del gasto o aporte.</t>
      </text>
    </comment>
    <comment authorId="0" ref="C27">
      <text>
        <t xml:space="preserve">======
ID#AAABykgGW3A
Consuelo Bruno Urbina    (2026-01-15 03:51:23)
Indicar la institución Beneficiaria o la entidad asociada por la cual participará del proyecto.
Agregue filas en función de las instituciones beneficiarias principales, secundarias y asociadas.</t>
      </text>
    </comment>
    <comment authorId="0" ref="C7">
      <text>
        <t xml:space="preserve">======
ID#AAABykgGW28
Consuelo Bruno Urbina    (2026-01-15 03:51:23)
Indicar la institución Beneficiaria o la entidad asociada por la cual participará del proyecto.
Agregue filas en función de las instituciones beneficiarias principales, secundarias y asociadas.</t>
      </text>
    </comment>
    <comment authorId="0" ref="F27">
      <text>
        <t xml:space="preserve">======
ID#AAABykgGW24
Pedro Cotal Zuniga    (2026-01-15 03:51:23)
Este monto no puede ser menor al monto mensual a pagar con subsido ANID.
El aporte se calcula en base a la remuneración del personal. Debe definir cual es el valor hora, de acuerdo a la remuneración, y multiplicarlo por las horas que dedicará al proyecto mensualmente.</t>
      </text>
    </comment>
    <comment authorId="0" ref="C36">
      <text>
        <t xml:space="preserve">======
ID#AAABykgGW20
Consuelo Bruno Urbina    (2026-01-15 03:51:23)
Indicar la entidad asociada por la cual participará del proyecto.
Agregue filas en función de las instituciones beneficiarias principales, secundarias y asociadas.</t>
      </text>
    </comment>
    <comment authorId="0" ref="A66">
      <text>
        <t xml:space="preserve">======
ID#AAABykgGW2w
Pedro Cotal Zuniga    (2026-01-15 03:51:23)
Una línea por subcontrato</t>
      </text>
    </comment>
    <comment authorId="0" ref="D27">
      <text>
        <t xml:space="preserve">======
ID#AAABykgGW2s
Pedro Cotal Zuniga    (2026-01-15 03:51:23)
Mínimo 36 horas.</t>
      </text>
    </comment>
    <comment authorId="0" ref="K27">
      <text>
        <t xml:space="preserve">======
ID#AAABykgGW2k
Pedro Cotal Zuniga    (2026-01-15 03:51:23)
El monto máximo mensual a pagar por persona no deberá exceder los $600.000 bruto y no podrá superar al monto aportado por la institución para cada persona.</t>
      </text>
    </comment>
    <comment authorId="0" ref="I26">
      <text>
        <t xml:space="preserve">======
ID#AAABykgGW2o
Pedro Cotal Zuniga    (2026-01-15 03:51:23)
Debe distribuir el COSTO TOTAL en estas columnas a fin de definir cuál es la fuente de financiamiento del gasto o aporte.</t>
      </text>
    </comment>
    <comment authorId="0" ref="B78">
      <text>
        <t xml:space="preserve">======
ID#AAABykgGW2g
Pedro Cotal Zuniga    (2026-01-15 03:51:23)
Indique el nombre de la institución beneficiaria que realiza el gasto.</t>
      </text>
    </comment>
    <comment authorId="0" ref="D77">
      <text>
        <t xml:space="preserve">======
ID#AAABykgGW2c
Pedro Cotal Zuniga    (2026-01-15 03:51:23)
Debe distribuir el COSTO TOTAL en estas columnas a fin de definir cuál es la fuente de financiamiento del gasto o aporte.</t>
      </text>
    </comment>
    <comment authorId="0" ref="A72">
      <text>
        <t xml:space="preserve">======
ID#AAABykgGW2Y
Pedro Cotal Zuniga    (2026-01-15 03:51:23)
Sólo aquellas instituciones autorizadas (previamente al concurso) por la Dirección Nacional  podrán disponer de algún monto en ese ítem.</t>
      </text>
    </comment>
    <comment authorId="0" ref="A71">
      <text>
        <t xml:space="preserve">======
ID#AAABykgGW2I
Pedro Cotal Zuniga    (2026-01-15 03:51:23)
una línea por viático de diferente destino</t>
      </text>
    </comment>
    <comment authorId="0" ref="F18">
      <text>
        <t xml:space="preserve">======
ID#AAABykgGW2E
Pedro Cotal Zuniga    (2026-01-15 03:51:23)
Sólo se podrá aplicar este pago al personal preexistente cuya remuneración bruta mensual (según contrato con la beneficiaria) sea menor o igual a $2.700.000.-, para una dedicación completa (160 hrs.), desde este tope se calcula el proporcional en caso de trabajar menos horas.
Se podrá financiar la remuneración completa o una proporción de la misma cuando su remuneración mensual bruta sea menor a $2.700.000. Este monto máximo aplicará para aquellos que tengan una dedicación por jornada completa de 160hrs/mensuales destinadas al proyecto. En el caso de personal cuya dedicación sea entre 80 y 159hrs/mes, podrán estimar un pago proporcional en función de la dedicación efectiva comprometida al proyecto. En ningún caso la dedicación al proyecto bajo esta modalidad de pago de remuneración mensual podrá ser menor a las 80 horas/mes.</t>
      </text>
    </comment>
    <comment authorId="0" ref="I44">
      <text>
        <t xml:space="preserve">======
ID#AAABykgGW2A
Pedro Cotal Zuniga    (2026-01-15 03:51:23)
Debe distribuir el COSTO TOTAL en estas columnas a fin de definir cuál es la fuente de financiamiento del gasto o aporte.</t>
      </text>
    </comment>
    <comment authorId="0" ref="E7">
      <text>
        <t xml:space="preserve">======
ID#AAABykgGW18
Pedro Cotal Zuniga    (2026-01-15 03:51:23)
Corresponde al pago de personas naturales nacionales o extranjeras cuyos servicios son contratados exclusivamente para el proyecto, con posterioridad al inicio de este y para la ejecución de actividades del proyecto. Indique el monto que se pagará mensualmente.</t>
      </text>
    </comment>
    <comment authorId="0" ref="K78">
      <text>
        <t xml:space="preserve">======
ID#AAABykgGW10
Pedro Cotal Zuniga    (2026-01-15 03:51:23)
En caso de postular con más de una beneficiaria, cada una de las beneficiarias debe cumplir con el porcentaje máximo exigido.</t>
      </text>
    </comment>
    <comment authorId="0" ref="H62">
      <text>
        <t xml:space="preserve">======
ID#AAABykgGW1w
Pedro Cotal Zuniga    (2026-01-15 03:51:23)
Debe distribuir el COSTO TOTAL en estas columnas a fin de definir cuál es la fuente de financiamiento del gasto o aporte.</t>
      </text>
    </comment>
    <comment authorId="0" ref="E27">
      <text>
        <t xml:space="preserve">======
ID#AAABykgGW1s
Pedro Cotal Zuniga    (2026-01-15 03:51:23)
El monto máximo mensual a pagar por persona por este concepto no deberá exceder los $600.000 bruto y no podrá superar al monto aportado por la institución por concepto de remuneraciones para cada persona.</t>
      </text>
    </comment>
    <comment authorId="0" ref="G18">
      <text>
        <t xml:space="preserve">======
ID#AAABykgGW1o
Pedro Cotal Zuniga    (2026-01-15 03:51:23)
En el caso que se financie solo una proporción de la remuneración con el subsidio ANID, la restante proporción se podrá ingresar como aporte de la beneficiaria.</t>
      </text>
    </comment>
    <comment authorId="0" ref="B54">
      <text>
        <t xml:space="preserve">======
ID#AAABykgGW1k
Pedro Cotal Zuniga    (2026-01-15 03:51:23)
Indique el nombre de la institución beneficiaria que realiza el gasto o el nombre de la entidad asociada, en el caso de corresponder a un aporte incremental o no incremental.
Agregue filas en función de las instituciones beneficiarias principales, secundarias y asociadas.</t>
      </text>
    </comment>
    <comment authorId="0" ref="A70">
      <text>
        <t xml:space="preserve">======
ID#AAABykgGW1c
Pedro Cotal Zuniga    (2026-01-15 03:51:23)
una línea por viático de diferente destino</t>
      </text>
    </comment>
    <comment authorId="0" ref="A68">
      <text>
        <t xml:space="preserve">======
ID#AAABykgGW1U
Pedro Cotal Zuniga    (2026-01-15 03:51:23)
una línea por viaje de diferente destino</t>
      </text>
    </comment>
    <comment authorId="0" ref="I35">
      <text>
        <t xml:space="preserve">======
ID#AAABykgGW1Y
Pedro Cotal Zuniga    (2026-01-15 03:51:23)
Debe distribuir el COSTO TOTAL en estas columnas a fin de definir cuál es la fuente de financiamiento del gasto o aporte.</t>
      </text>
    </comment>
    <comment authorId="0" ref="C18">
      <text>
        <t xml:space="preserve">======
ID#AAABykgGW1Q
Consuelo Bruno Urbina    (2026-01-15 03:51:23)
Indicar la institución Beneficiaria o la entidad asociada por la cual participará del proyecto.
Agregue filas en función de las instituciones beneficiarias principales, secundarias y asociadas.</t>
      </text>
    </comment>
    <comment authorId="0" ref="A64">
      <text>
        <t xml:space="preserve">======
ID#AAABykgGW1M
Pedro Cotal Zuniga    (2026-01-15 03:51:23)
Materiales fungibles, insumos y compra de software para la realización de actividades de investigación y desarrollo del proyecto. Gastos en capacitaciones, asistencia a congresos, talleres, seminarios y reuniones. Gastos de publicación y difusión de resultados, asociados a gastos de escalamiento y transferencia tecnológica. Arriendo de equipos, espacios de trabajo y servicios técnicos específicos asociados al desarrollo, prueba y validación de los resultados de investigación, desarrollo experimental y tecnologías. Gastos en pasajes y viáticos nacionales, movilización y traslados. Considera además gastos en propiedad intelectual e industrial, consultoría y asesorías que sean necesarias para la adecuada ejecución del proyecto. Se incluyen gastos por la emisión de boletas o pólizas de garantías, así como otros gastos de operación.
(EL TOTAL EN UNA SOLA LÍNEA). Agregue filas en función de las instituciones beneficiarias principales, secundarias y asociadas.</t>
      </text>
    </comment>
    <comment authorId="0" ref="A5">
      <text>
        <t xml:space="preserve">======
ID#AAABykgGW1I
Pedro Cotal Zuniga    (2026-01-15 03:51:23)
Corresponde al pago de personas naturales nacionales o extranjeras cuyos servicios son contratados exclusivamente para el proyecto, con posterioridad al inicio de este y para la ejecución de actividades del proyecto. Indique el monto que se pagará mensualmente.</t>
      </text>
    </comment>
    <comment authorId="0" ref="A67">
      <text>
        <t xml:space="preserve">======
ID#AAABykgGW1E
Pedro Cotal Zuniga    (2026-01-15 03:51:23)
Una línea por subcontrato</t>
      </text>
    </comment>
    <comment authorId="0" ref="J27">
      <text>
        <t xml:space="preserve">======
ID#AAABykgGW1A
Pedro Cotal Zuniga    (2026-01-15 03:51:23)
El monto máximo mensual a pagar por persona no deberá exceder los $600.000 bruto y no podrá superar al monto aportado por la institución para cada persona.</t>
      </text>
    </comment>
    <comment authorId="0" ref="C78">
      <text>
        <t xml:space="preserve">======
ID#AAABykgGW00
Pedro Cotal Zuniga    (2026-01-15 03:51:23)
Los gastos de administración indirectos (overhead o gastos de administración superior) no podrán ser superior al 15% de lo solicitado como subsidio ANID al proyecto. En caso de postular con más de una beneficiaria, cada una de las beneficiarias debe cumplir con el porcentaje máximo exigido.</t>
      </text>
    </comment>
    <comment authorId="0" ref="J17">
      <text>
        <t xml:space="preserve">======
ID#AAABykgGW0s
Pedro Cotal Zuniga    (2026-01-15 03:51:23)
Debe distribuir el COSTO TOTAL en estas columnas a fin de definir cuál es la fuente de financiamiento del gasto o aporte.</t>
      </text>
    </comment>
    <comment authorId="0" ref="B45">
      <text>
        <t xml:space="preserve">======
ID#AAABykgGW0o
Pedro Cotal Zuniga    (2026-01-15 03:51:23)
Indique el nombre de la institución beneficiaria que compra el equipo o el nombre de la entidad asociada, en el caso de corresponder a un aporte incremental o no incremental.
Agregue filas en función de las instituciones beneficiarias principales, secundarias y asociadas.</t>
      </text>
    </comment>
  </commentList>
  <extLst>
    <ext uri="GoogleSheetsCustomDataVersion2">
      <go:sheetsCustomData xmlns:go="http://customooxmlschemas.google.com/" r:id="rId1" roundtripDataSignature="AMtx7mhcLsfSTRttXuaX1tmD9zRcCJOW1w=="/>
    </ext>
  </extLst>
</comments>
</file>

<file path=xl/sharedStrings.xml><?xml version="1.0" encoding="utf-8"?>
<sst xmlns="http://schemas.openxmlformats.org/spreadsheetml/2006/main" count="476" uniqueCount="157">
  <si>
    <t>PLANILLA DE COSTOS PROYECTOS SIA (SUBDIRECCIÓN DE INVESTIGACIÓN APLICADA [EX FONDEF]) Concurso IT 2026</t>
  </si>
  <si>
    <t>IDENTIFICACIÓN</t>
  </si>
  <si>
    <t>DETALLE</t>
  </si>
  <si>
    <t>Para postular sólo debe completar las hojas: ANTECEDENTES y DETALLE DE GASTOS</t>
  </si>
  <si>
    <t xml:space="preserve">CODIGO PROYECTO (IT) </t>
  </si>
  <si>
    <t>PLAZO EN MESES</t>
  </si>
  <si>
    <t>24 meses</t>
  </si>
  <si>
    <t>DIRECTOR(A)</t>
  </si>
  <si>
    <t>Felipe del Rio</t>
  </si>
  <si>
    <t>BENEFICIARIA PRINCIPAL</t>
  </si>
  <si>
    <t>CENIA</t>
  </si>
  <si>
    <t>BENEFICIARIAS SECUNDARIAS</t>
  </si>
  <si>
    <t>N/A</t>
  </si>
  <si>
    <t>ENTIDADES ASOCIADAS</t>
  </si>
  <si>
    <t>SERVIU RM</t>
  </si>
  <si>
    <r>
      <rPr>
        <rFont val="Calibri"/>
        <color theme="1"/>
        <sz val="10.0"/>
      </rPr>
      <t>MANDANTE</t>
    </r>
    <r>
      <rPr>
        <rFont val="Calibri"/>
        <color theme="1"/>
        <sz val="9.0"/>
      </rPr>
      <t xml:space="preserve"> (obligatorio proy interés público)</t>
    </r>
  </si>
  <si>
    <t>`</t>
  </si>
  <si>
    <t>COLABORADORAS (opcional)</t>
  </si>
  <si>
    <t>PRESUPUESTOS</t>
  </si>
  <si>
    <t>SEGÚN CARTAS Y PLATAFORMA</t>
  </si>
  <si>
    <t>SEGÚN PLANILLA DE COSTOS</t>
  </si>
  <si>
    <t>PRESUPUESTO APORTE ANID</t>
  </si>
  <si>
    <r>
      <rPr>
        <rFont val="Calibri"/>
        <b/>
        <color rgb="FFFF0000"/>
        <sz val="10.0"/>
      </rPr>
      <t xml:space="preserve">Revise cuidadosamente que los montos de las cartas de compromiso y los montos ingresados en plataforma de postulación </t>
    </r>
    <r>
      <rPr>
        <rFont val="Calibri"/>
        <b/>
        <color rgb="FFFF0000"/>
        <sz val="10.0"/>
      </rPr>
      <t>correspondan con lo declarado en este documento</t>
    </r>
    <r>
      <rPr>
        <rFont val="Calibri"/>
        <b/>
        <color rgb="FFFF0000"/>
        <sz val="10.0"/>
      </rPr>
      <t>. No pueden haber diferencias.</t>
    </r>
  </si>
  <si>
    <t>PRESUPUESTO APORTE INSTITUCIONAL</t>
  </si>
  <si>
    <t>PRESUPUESTO APORTE SOCIAS</t>
  </si>
  <si>
    <t>PERSONAL CONTRATADO EXCLUSIVAMENTE PARA EL PROYECTO</t>
  </si>
  <si>
    <r>
      <rPr>
        <rFont val="Calibri"/>
        <color theme="1"/>
        <sz val="10.0"/>
      </rPr>
      <t xml:space="preserve">DISTRIBUCIÓN DEL </t>
    </r>
    <r>
      <rPr>
        <rFont val="Calibri"/>
        <b/>
        <color rgb="FF0070C0"/>
        <sz val="10.0"/>
      </rPr>
      <t>COSTO TOTAL</t>
    </r>
  </si>
  <si>
    <t>NOMBRE</t>
  </si>
  <si>
    <t>CARGO</t>
  </si>
  <si>
    <t>ENTIDAD A LA QUE SE VINCULA PARA EFECTOS DEL PROYECTO</t>
  </si>
  <si>
    <t>HORAS DE TRABAJO AL MES</t>
  </si>
  <si>
    <t>MONTO MENSUAL</t>
  </si>
  <si>
    <t>MESES QUE TRABAJARÁ</t>
  </si>
  <si>
    <t>COSTO TOTAL</t>
  </si>
  <si>
    <t>ANID</t>
  </si>
  <si>
    <t>BENEFICIARIA APORTE INCREMENTAL</t>
  </si>
  <si>
    <t>BENEFICIARIA APORTE NO INCREMENTAL</t>
  </si>
  <si>
    <t>ASOCIADA APORTE INCREMENTAL</t>
  </si>
  <si>
    <t>ASOCIADA APORTE NO INCREMENTAL</t>
  </si>
  <si>
    <t>TOTAL</t>
  </si>
  <si>
    <t>VALIDACIÓN</t>
  </si>
  <si>
    <t>NN1</t>
  </si>
  <si>
    <t xml:space="preserve">ML Engineer  </t>
  </si>
  <si>
    <t xml:space="preserve">Ismael Aguayo </t>
  </si>
  <si>
    <t>Research assistant</t>
  </si>
  <si>
    <t>NN3</t>
  </si>
  <si>
    <t>Tech Lead</t>
  </si>
  <si>
    <t>NN4</t>
  </si>
  <si>
    <t>Full Stack Developer</t>
  </si>
  <si>
    <t>NN5</t>
  </si>
  <si>
    <t>Undergraduate Student</t>
  </si>
  <si>
    <t>NN6</t>
  </si>
  <si>
    <t>Postgraduate Student</t>
  </si>
  <si>
    <t>PERSONAL PREEXISTENTE CON PAGO REMUNERACIÓN CON CARGO AL SUBSIDIO</t>
  </si>
  <si>
    <r>
      <rPr>
        <rFont val="Calibri"/>
        <color theme="1"/>
        <sz val="10.0"/>
      </rPr>
      <t xml:space="preserve">DISTRIBUCIÓN DEL </t>
    </r>
    <r>
      <rPr>
        <rFont val="Calibri"/>
        <b/>
        <color rgb="FF0070C0"/>
        <sz val="10.0"/>
      </rPr>
      <t>COSTO TOTAL</t>
    </r>
  </si>
  <si>
    <r>
      <rPr>
        <rFont val="Calibri"/>
        <color theme="1"/>
        <sz val="10.0"/>
      </rPr>
      <t xml:space="preserve">HORAS DE TRABAJO AL MES
</t>
    </r>
    <r>
      <rPr>
        <rFont val="Calibri"/>
        <color rgb="FFFF0000"/>
        <sz val="10.0"/>
      </rPr>
      <t>Mínimo 80</t>
    </r>
  </si>
  <si>
    <t>VALOR HORA</t>
  </si>
  <si>
    <t>MONTO MENSUAL A PAGAR CON SUBSIDIO ANID</t>
  </si>
  <si>
    <t>MONTO MENSUAL A PAGAR POR BENEFICIARIA (APORTE)</t>
  </si>
  <si>
    <t>DECLARAR REMUNERACIÓN MENSUAL BRUTA</t>
  </si>
  <si>
    <t>-</t>
  </si>
  <si>
    <t>PERSONAL PREEXISTENTE CON PAGO ADICIONAL (ex-incentivo)</t>
  </si>
  <si>
    <r>
      <rPr>
        <rFont val="Calibri"/>
        <color theme="1"/>
        <sz val="10.0"/>
      </rPr>
      <t xml:space="preserve">DISTRIBUCIÓN DEL </t>
    </r>
    <r>
      <rPr>
        <rFont val="Calibri"/>
        <b/>
        <color rgb="FF0070C0"/>
        <sz val="10.0"/>
      </rPr>
      <t>COSTO TOTAL</t>
    </r>
  </si>
  <si>
    <r>
      <rPr>
        <rFont val="Calibri"/>
        <color theme="1"/>
        <sz val="10.0"/>
      </rPr>
      <t xml:space="preserve">HORAS DE TRABAJO AL MES
</t>
    </r>
    <r>
      <rPr>
        <rFont val="Calibri"/>
        <color rgb="FFFF0000"/>
        <sz val="10.0"/>
      </rPr>
      <t>Mínimo 36</t>
    </r>
  </si>
  <si>
    <t xml:space="preserve">Director </t>
  </si>
  <si>
    <t>Rodrigo Duran</t>
  </si>
  <si>
    <t>Deputy Director</t>
  </si>
  <si>
    <t xml:space="preserve">Mitchell Bosley </t>
  </si>
  <si>
    <t>Principal Investigator</t>
  </si>
  <si>
    <t>PERSONAL DE LAS ENTIDADES ASOCIADAS Y DE BENEFICIARIAS QUE NO RECIBEN SUBSIDIO</t>
  </si>
  <si>
    <r>
      <rPr>
        <rFont val="Calibri"/>
        <color theme="1"/>
        <sz val="10.0"/>
      </rPr>
      <t xml:space="preserve">DISTRIBUCIÓN DEL </t>
    </r>
    <r>
      <rPr>
        <rFont val="Calibri"/>
        <b/>
        <color rgb="FF0070C0"/>
        <sz val="10.0"/>
      </rPr>
      <t>COSTO TOTAL</t>
    </r>
  </si>
  <si>
    <t>Maripaula Vila</t>
  </si>
  <si>
    <t>Head of Public Procurement Section</t>
  </si>
  <si>
    <t>Priscila Alcazar</t>
  </si>
  <si>
    <t>Management Analyst, Public Procurement Section</t>
  </si>
  <si>
    <t xml:space="preserve">Gerson Zuñiga </t>
  </si>
  <si>
    <t>Analyst, Public Procurement Section</t>
  </si>
  <si>
    <t>Diego Valenzuela</t>
  </si>
  <si>
    <t>Head of IT Section</t>
  </si>
  <si>
    <t>EQUIPOS</t>
  </si>
  <si>
    <r>
      <rPr>
        <rFont val="Calibri"/>
        <color theme="1"/>
        <sz val="10.0"/>
      </rPr>
      <t xml:space="preserve">DISTRIBUCIÓN DEL </t>
    </r>
    <r>
      <rPr>
        <rFont val="Calibri"/>
        <b/>
        <color rgb="FF0070C0"/>
        <sz val="10.0"/>
      </rPr>
      <t>COSTO TOTAL</t>
    </r>
  </si>
  <si>
    <t>INSTITUCIÓN</t>
  </si>
  <si>
    <t>DESCRIPCIÓN</t>
  </si>
  <si>
    <t>OBJETIVO ASOCIADO</t>
  </si>
  <si>
    <t>CANTIDAD</t>
  </si>
  <si>
    <t>VALOR COMPRA</t>
  </si>
  <si>
    <t>VALOR ARRIENDO TOTAL</t>
  </si>
  <si>
    <t>INFRAESTRUCTURA Y MOBILIARIO</t>
  </si>
  <si>
    <r>
      <rPr>
        <rFont val="Calibri"/>
        <color theme="1"/>
        <sz val="10.0"/>
      </rPr>
      <t xml:space="preserve">DISTRIBUCIÓN DEL </t>
    </r>
    <r>
      <rPr>
        <rFont val="Calibri"/>
        <b/>
        <color rgb="FF0070C0"/>
        <sz val="10.0"/>
      </rPr>
      <t>COSTO TOTAL</t>
    </r>
  </si>
  <si>
    <t>VALOR COMPRA O HABILITACIÓN</t>
  </si>
  <si>
    <t>VALOR USO INFRA. EXISTENTE</t>
  </si>
  <si>
    <r>
      <rPr>
        <rFont val="Calibri"/>
        <color theme="1"/>
        <sz val="10.0"/>
      </rPr>
      <t xml:space="preserve">ANID
</t>
    </r>
    <r>
      <rPr>
        <rFont val="Calibri"/>
        <color rgb="FFFF0000"/>
        <sz val="10.0"/>
      </rPr>
      <t>Máx. 20%</t>
    </r>
  </si>
  <si>
    <t>Office place</t>
  </si>
  <si>
    <t>CENIA puts a disposition an entire office place for the full 2-year development and implementation of the project</t>
  </si>
  <si>
    <t>Obj. 1, 2, 3, 4 &amp; 5</t>
  </si>
  <si>
    <t>GASTOS DE OPERACIÓN</t>
  </si>
  <si>
    <r>
      <rPr>
        <rFont val="Calibri"/>
        <color theme="1"/>
        <sz val="10.0"/>
      </rPr>
      <t xml:space="preserve">DISTRIBUCIÓN DEL </t>
    </r>
    <r>
      <rPr>
        <rFont val="Calibri"/>
        <b/>
        <color rgb="FF0070C0"/>
        <sz val="10.0"/>
      </rPr>
      <t>COSTO TOTAL</t>
    </r>
  </si>
  <si>
    <t>VALOR TOTAL COMPRA</t>
  </si>
  <si>
    <t>Gastos  de operación generales ( revisar nota)</t>
  </si>
  <si>
    <t>Operating expenses will cover the costs required for the development, validation, and transfer of the proposed system. These include cloud infrastructure and computational resources for document processing and AI-based analysis, as well as technical support services and specialized subcontracting for system integration and interface development. Additional operational costs include logistics and coordination for pilot validation activities, workshops, and co-design sessions with the associated institution. The budget also considers administrative support expenses and the issuance of guarantee bonds required for project execution.</t>
  </si>
  <si>
    <t>Gastos de operación general</t>
  </si>
  <si>
    <t>SERVIU</t>
  </si>
  <si>
    <t>Operating expenses directly associated with the execution of the project. These include logistical and coordination costs for pilot validation activities, participation of institutional staff in workshops and co-design sessions, and operational support required for the implementation of the system in real procurement processes. Additional expenses may include administrative support, local travel, and other institutional costs necessary to enable effective collaboration, validation, and adoption of the technology within SERVIU’s operational environment.</t>
  </si>
  <si>
    <t>Subcontratos (insertar una línea por subcontrato)</t>
  </si>
  <si>
    <t>Atención: Justifique por qué el subcontrato es crítico para la ejecución y por qué no puede realizar esta tarea el personal del proyecto. Describa el gasto e indique el nombre de la empresa a subcontratar.</t>
  </si>
  <si>
    <t>Subcontratos (una línea por subcontrato)</t>
  </si>
  <si>
    <t>Pasaje Internacional (insertar una línea por viaje de diferente destino)</t>
  </si>
  <si>
    <t>The Principal Investigator will travel to the AAAI Conference on Artificial Intelligence in Québec, Canada, for approximately one week to present a research paper produced by this project. This item corresponds to the plane tickets for this purpose. This activity cannot be carried out in Chile, as AAAI is an international conference that provides a unique global platform not available locally.</t>
  </si>
  <si>
    <t>Atención: Indicar quién viaja, fecha, destino, motivo del viaje, por cuánto tiempo, indicar si el proyecto pretende proteger los resultados y como esto se relaciona con este viaje, indicar explícitamente qué objetivo del proyecto y cómo se verá favorecido con la realización de este viaje, y por qué no puede ser realizado en Chile.</t>
  </si>
  <si>
    <t>Viático Internacional (insertar una línea por viático de diferente destino)</t>
  </si>
  <si>
    <t>The Principal Investigator will travel to the AAAI Conference on Artificial Intelligence in Québec, Canada, for approximately one week to present a research paper produced by this project. This item corresponds to thetravel expenses for this purpose. This activity cannot be carried out in Chile, as AAAI is an international conference that provides a unique global platform not available locally.</t>
  </si>
  <si>
    <t>Viático Internacional (una línea por viático de diferente destino)</t>
  </si>
  <si>
    <t>Gastos de apoyo a la administracion: previa autorización de la Dirección Nacional de la ANID (debe estar autorizado antes de postular al concurso).</t>
  </si>
  <si>
    <t xml:space="preserve">GASTOS DE ADMINISTRACIÓN INDIRECTOS 15% (overhead o gastos de administración superior) </t>
  </si>
  <si>
    <r>
      <rPr>
        <rFont val="Calibri"/>
        <color theme="1"/>
        <sz val="10.0"/>
      </rPr>
      <t xml:space="preserve">DISTRIBUCIÓN DEL </t>
    </r>
    <r>
      <rPr>
        <rFont val="Calibri"/>
        <b/>
        <color rgb="FF0070C0"/>
        <sz val="10.0"/>
      </rPr>
      <t>COSTO TOTAL</t>
    </r>
  </si>
  <si>
    <t>Máximo 15%</t>
  </si>
  <si>
    <t>Indirect administration costs</t>
  </si>
  <si>
    <t>COSTO TOTAL DEL PROYECTO</t>
  </si>
  <si>
    <t>ÍTEM</t>
  </si>
  <si>
    <t>SUBSIDIO ANID</t>
  </si>
  <si>
    <t>PERSONAL</t>
  </si>
  <si>
    <t>INFRAESTRUCTURA</t>
  </si>
  <si>
    <t>G. OPERACIÓN</t>
  </si>
  <si>
    <t>G.A.INDIRECTOS</t>
  </si>
  <si>
    <t>PORCENTAJES SEGÚN BASES</t>
  </si>
  <si>
    <t>PORCENTAJE</t>
  </si>
  <si>
    <t>MONTO</t>
  </si>
  <si>
    <t>Máximo ANID</t>
  </si>
  <si>
    <t xml:space="preserve">Aporte Mínimo INSTITUCIONAL (Beneficiarias) </t>
  </si>
  <si>
    <t xml:space="preserve">Aporte Mínimo ENTIDADES ASOCIADAS </t>
  </si>
  <si>
    <t>Aporte INCREMENTAL Mínimo ENTIDADES ASOCIADAS</t>
  </si>
  <si>
    <t>SOLO REQUERIDO PARA LOS PROYECTOS QUE RESULTEN ADJUDICADOS. AL MOMENTO DE LA POSTULACION NO REQUIERE COMPLETAR ESTA SECCIÓN.</t>
  </si>
  <si>
    <t>HISTORIAL REITEMIZACIONES: En esta hoja deben quedar reflejadas todas la reitemizaciones realizadas por el proyecto al presupuesto del subsidio de la ANID con su respectiva justificación. 
El proyecto debe programar estás reitemizaciones con una periodicidad de seis meses.</t>
  </si>
  <si>
    <t>MODIFICACIÓN PRESUPUESTARIA 1</t>
  </si>
  <si>
    <t>FECHA</t>
  </si>
  <si>
    <t>00-00-0000</t>
  </si>
  <si>
    <t>INSTITUCIÓN FINANCIADORA</t>
  </si>
  <si>
    <t>INSTITUCIÓN EJECUTORA</t>
  </si>
  <si>
    <t>(indique el nombre de la beneficiaria asociada a este presupuesto)</t>
  </si>
  <si>
    <t>ITEM</t>
  </si>
  <si>
    <t>PRESUPUESTO ACTUAL</t>
  </si>
  <si>
    <t>PRESUPUESTO MODIFICADO</t>
  </si>
  <si>
    <r>
      <rPr>
        <rFont val="Calibri"/>
        <b/>
        <color theme="1"/>
        <sz val="10.0"/>
      </rPr>
      <t xml:space="preserve">JUSTIFICACIÓN DE LA REITEMIZACIÓN
</t>
    </r>
    <r>
      <rPr>
        <rFont val="Calibri"/>
        <b/>
        <color rgb="FFFF0000"/>
        <sz val="10.0"/>
      </rPr>
      <t>¿qué se cambia? ¿monto? ¿por qué?</t>
    </r>
  </si>
  <si>
    <t>GASTOS EN PERSONAL</t>
  </si>
  <si>
    <t>GASTOS DE ADM. INDIRECTOS</t>
  </si>
  <si>
    <t>TOTALES</t>
  </si>
  <si>
    <t>MODIFICACIÓN PRESUPUESTARIA 2</t>
  </si>
  <si>
    <r>
      <rPr>
        <rFont val="Calibri"/>
        <b/>
        <color theme="1"/>
        <sz val="10.0"/>
      </rPr>
      <t xml:space="preserve">JUSTIFICACIÓN DE LA REITEMIZACIÓN
</t>
    </r>
    <r>
      <rPr>
        <rFont val="Calibri"/>
        <b/>
        <color rgb="FFFF0000"/>
        <sz val="10.0"/>
      </rPr>
      <t>¿qué se cambia? ¿monto? ¿por qué?</t>
    </r>
  </si>
  <si>
    <t>MODIFICACIÓN PRESUPUESTARIA 3</t>
  </si>
  <si>
    <r>
      <rPr>
        <rFont val="Calibri"/>
        <b/>
        <color theme="1"/>
        <sz val="10.0"/>
      </rPr>
      <t xml:space="preserve">JUSTIFICACIÓN DE LA REITEMIZACIÓN
</t>
    </r>
    <r>
      <rPr>
        <rFont val="Calibri"/>
        <b/>
        <color rgb="FFFF0000"/>
        <sz val="10.0"/>
      </rPr>
      <t>¿qué se cambia? ¿monto? ¿por qué?</t>
    </r>
  </si>
  <si>
    <t>MODIFICACIÓN PRESUPUESTARIA 4</t>
  </si>
  <si>
    <r>
      <rPr>
        <rFont val="Calibri"/>
        <b/>
        <color theme="1"/>
        <sz val="10.0"/>
      </rPr>
      <t xml:space="preserve">JUSTIFICACIÓN DE LA REITEMIZACIÓN
</t>
    </r>
    <r>
      <rPr>
        <rFont val="Calibri"/>
        <b/>
        <color rgb="FFFF0000"/>
        <sz val="10.0"/>
      </rPr>
      <t>¿qué se cambia? ¿monto? ¿por qué?</t>
    </r>
  </si>
  <si>
    <t>(indique el nombre de la entidad que realiza el aporte)</t>
  </si>
  <si>
    <r>
      <rPr>
        <rFont val="Calibri"/>
        <b/>
        <color theme="1"/>
        <sz val="10.0"/>
      </rPr>
      <t xml:space="preserve">JUSTIFICACIÓN DE LA REITEMIZACIÓN
</t>
    </r>
    <r>
      <rPr>
        <rFont val="Calibri"/>
        <b/>
        <color rgb="FFFF0000"/>
        <sz val="10.0"/>
      </rPr>
      <t>¿qué se cambia? ¿monto? ¿por qué?</t>
    </r>
  </si>
  <si>
    <r>
      <rPr>
        <rFont val="Calibri"/>
        <b/>
        <color theme="1"/>
        <sz val="10.0"/>
      </rPr>
      <t xml:space="preserve">JUSTIFICACIÓN DE LA REITEMIZACIÓN
</t>
    </r>
    <r>
      <rPr>
        <rFont val="Calibri"/>
        <b/>
        <color rgb="FFFF0000"/>
        <sz val="10.0"/>
      </rPr>
      <t>¿qué se cambia? ¿monto? ¿por qué?</t>
    </r>
  </si>
  <si>
    <r>
      <rPr>
        <rFont val="Calibri"/>
        <b/>
        <color theme="1"/>
        <sz val="10.0"/>
      </rPr>
      <t xml:space="preserve">JUSTIFICACIÓN DE LA REITEMIZACIÓN
</t>
    </r>
    <r>
      <rPr>
        <rFont val="Calibri"/>
        <b/>
        <color rgb="FFFF0000"/>
        <sz val="10.0"/>
      </rPr>
      <t>¿qué se cambia? ¿monto? ¿por qué?</t>
    </r>
  </si>
  <si>
    <r>
      <rPr>
        <rFont val="Calibri"/>
        <b/>
        <color theme="1"/>
        <sz val="10.0"/>
      </rPr>
      <t xml:space="preserve">JUSTIFICACIÓN DE LA REITEMIZACIÓN
</t>
    </r>
    <r>
      <rPr>
        <rFont val="Calibri"/>
        <b/>
        <color rgb="FFFF0000"/>
        <sz val="10.0"/>
      </rPr>
      <t>¿qué se cambia? ¿monto? ¿por qué?</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</si>
</sst>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10">
    <font>
      <sz val="10.0"/>
      <color rgb="FF000000"/>
      <name val="Arial"/>
      <scheme val="minor"/>
    </font>
    <font>
      <b/>
      <sz val="10.0"/>
      <color theme="1"/>
      <name val="Calibri"/>
    </font>
    <font>
      <sz val="10.0"/>
      <color theme="1"/>
      <name val="Calibri"/>
    </font>
    <font/>
    <font>
      <b/>
      <sz val="10.0"/>
      <color rgb="FFFF0000"/>
      <name val="Calibri"/>
    </font>
    <font>
      <b/>
      <sz val="10.0"/>
      <color rgb="FF0070C0"/>
      <name val="Calibri"/>
    </font>
    <font>
      <color theme="1"/>
      <name val="Calibri"/>
    </font>
    <font>
      <sz val="10.0"/>
      <color rgb="FFFF0000"/>
      <name val="Calibri"/>
    </font>
    <font>
      <sz val="10.0"/>
      <color rgb="FF000000"/>
      <name val="Calibri"/>
    </font>
    <font>
      <b/>
      <sz val="11.0"/>
      <color rgb="FF0070C0"/>
      <name val="Calibri"/>
    </font>
  </fonts>
  <fills count="10">
    <fill>
      <patternFill patternType="none"/>
    </fill>
    <fill>
      <patternFill patternType="lightGray"/>
    </fill>
    <fill>
      <patternFill patternType="solid">
        <fgColor rgb="FFC6D9F0"/>
        <bgColor rgb="FFC6D9F0"/>
      </patternFill>
    </fill>
    <fill>
      <patternFill patternType="solid">
        <fgColor rgb="FFFFFF00"/>
        <bgColor rgb="FFFFFF00"/>
      </patternFill>
    </fill>
    <fill>
      <patternFill patternType="solid">
        <fgColor rgb="FFDBE5F1"/>
        <bgColor rgb="FFDBE5F1"/>
      </patternFill>
    </fill>
    <fill>
      <patternFill patternType="solid">
        <fgColor rgb="FFEAF1DD"/>
        <bgColor rgb="FFEAF1DD"/>
      </patternFill>
    </fill>
    <fill>
      <patternFill patternType="solid">
        <fgColor rgb="FF0C0C0C"/>
        <bgColor rgb="FF0C0C0C"/>
      </patternFill>
    </fill>
    <fill>
      <patternFill patternType="solid">
        <fgColor theme="1"/>
        <bgColor theme="1"/>
      </patternFill>
    </fill>
    <fill>
      <patternFill patternType="solid">
        <fgColor rgb="FFDAEEF3"/>
        <bgColor rgb="FFDAEEF3"/>
      </patternFill>
    </fill>
    <fill>
      <patternFill patternType="solid">
        <fgColor rgb="FFEEECE1"/>
        <bgColor rgb="FFEEECE1"/>
      </patternFill>
    </fill>
  </fills>
  <borders count="32">
    <border/>
    <border>
      <left style="thin">
        <color rgb="FF000000"/>
      </left>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0" fontId="1" numFmtId="0" xfId="0" applyFont="1"/>
    <xf borderId="0" fillId="0" fontId="2" numFmtId="0" xfId="0" applyFont="1"/>
    <xf borderId="1" fillId="2" fontId="1" numFmtId="0" xfId="0" applyAlignment="1" applyBorder="1" applyFill="1" applyFont="1">
      <alignment vertical="center"/>
    </xf>
    <xf borderId="1" fillId="2" fontId="1" numFmtId="0" xfId="0" applyAlignment="1" applyBorder="1" applyFont="1">
      <alignment horizontal="center" vertical="center"/>
    </xf>
    <xf borderId="2" fillId="3" fontId="1"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1" fillId="0" fontId="2" numFmtId="0" xfId="0" applyBorder="1" applyFont="1"/>
    <xf borderId="5" fillId="0" fontId="3" numFmtId="0" xfId="0" applyBorder="1" applyFont="1"/>
    <xf borderId="6" fillId="0" fontId="3" numFmtId="0" xfId="0" applyBorder="1" applyFont="1"/>
    <xf borderId="1" fillId="0" fontId="2" numFmtId="0" xfId="0" applyAlignment="1" applyBorder="1" applyFont="1">
      <alignment readingOrder="0"/>
    </xf>
    <xf borderId="1" fillId="0" fontId="2" numFmtId="0" xfId="0" applyAlignment="1" applyBorder="1" applyFont="1">
      <alignment vertical="center"/>
    </xf>
    <xf borderId="7" fillId="0" fontId="3" numFmtId="0" xfId="0" applyBorder="1" applyFont="1"/>
    <xf borderId="8" fillId="0" fontId="3" numFmtId="0" xfId="0" applyBorder="1" applyFont="1"/>
    <xf borderId="9" fillId="0" fontId="3" numFmtId="0" xfId="0" applyBorder="1" applyFont="1"/>
    <xf borderId="0" fillId="0" fontId="4" numFmtId="0" xfId="0" applyAlignment="1" applyFont="1">
      <alignment shrinkToFit="0" wrapText="1"/>
    </xf>
    <xf borderId="0" fillId="0" fontId="4" numFmtId="0" xfId="0" applyAlignment="1" applyFont="1">
      <alignment horizontal="center" shrinkToFit="0" wrapText="1"/>
    </xf>
    <xf borderId="0" fillId="0" fontId="2" numFmtId="0" xfId="0" applyAlignment="1" applyFont="1">
      <alignment readingOrder="0"/>
    </xf>
    <xf borderId="10" fillId="0" fontId="2" numFmtId="3" xfId="0" applyAlignment="1" applyBorder="1" applyFont="1" applyNumberFormat="1">
      <alignment readingOrder="0"/>
    </xf>
    <xf borderId="1" fillId="0" fontId="2" numFmtId="3" xfId="0" applyAlignment="1" applyBorder="1" applyFont="1" applyNumberFormat="1">
      <alignment horizontal="right"/>
    </xf>
    <xf borderId="10" fillId="0" fontId="2" numFmtId="0" xfId="0" applyBorder="1" applyFont="1"/>
    <xf borderId="2" fillId="3" fontId="4" numFmtId="0" xfId="0" applyAlignment="1" applyBorder="1" applyFont="1">
      <alignment horizontal="center" shrinkToFit="0" wrapText="1"/>
    </xf>
    <xf borderId="10" fillId="0" fontId="2" numFmtId="3" xfId="0" applyBorder="1" applyFont="1" applyNumberFormat="1"/>
    <xf borderId="0" fillId="0" fontId="2" numFmtId="3" xfId="0" applyFont="1" applyNumberFormat="1"/>
    <xf borderId="0" fillId="0" fontId="2" numFmtId="3" xfId="0" applyAlignment="1" applyFont="1" applyNumberFormat="1">
      <alignment vertical="center"/>
    </xf>
    <xf borderId="0" fillId="0" fontId="2" numFmtId="3" xfId="0" applyAlignment="1" applyFont="1" applyNumberFormat="1">
      <alignment readingOrder="0" vertical="center"/>
    </xf>
    <xf borderId="11" fillId="4" fontId="1" numFmtId="3" xfId="0" applyAlignment="1" applyBorder="1" applyFill="1" applyFont="1" applyNumberFormat="1">
      <alignment horizontal="left" vertical="center"/>
    </xf>
    <xf borderId="12" fillId="0" fontId="3" numFmtId="0" xfId="0" applyBorder="1" applyFont="1"/>
    <xf borderId="13" fillId="0" fontId="3" numFmtId="0" xfId="0" applyBorder="1" applyFont="1"/>
    <xf borderId="10" fillId="5" fontId="2" numFmtId="3" xfId="0" applyAlignment="1" applyBorder="1" applyFill="1" applyFont="1" applyNumberFormat="1">
      <alignment horizontal="center" vertical="center"/>
    </xf>
    <xf borderId="14" fillId="0" fontId="3" numFmtId="0" xfId="0" applyBorder="1" applyFont="1"/>
    <xf borderId="15" fillId="0" fontId="3" numFmtId="0" xfId="0" applyBorder="1" applyFont="1"/>
    <xf borderId="1" fillId="4" fontId="2" numFmtId="3" xfId="0" applyAlignment="1" applyBorder="1" applyFont="1" applyNumberFormat="1">
      <alignment horizontal="center" shrinkToFit="0" vertical="center" wrapText="1"/>
    </xf>
    <xf borderId="1" fillId="4" fontId="5" numFmtId="3" xfId="0" applyAlignment="1" applyBorder="1" applyFont="1" applyNumberFormat="1">
      <alignment horizontal="center" shrinkToFit="0" vertical="center" wrapText="1"/>
    </xf>
    <xf borderId="1" fillId="5" fontId="2" numFmtId="3" xfId="0" applyAlignment="1" applyBorder="1" applyFont="1" applyNumberFormat="1">
      <alignment horizontal="center" shrinkToFit="0" vertical="center" wrapText="1"/>
    </xf>
    <xf borderId="0" fillId="0" fontId="2" numFmtId="3" xfId="0" applyAlignment="1" applyFont="1" applyNumberFormat="1">
      <alignment horizontal="center" shrinkToFit="0" vertical="center" wrapText="1"/>
    </xf>
    <xf borderId="1" fillId="0" fontId="2" numFmtId="3" xfId="0" applyAlignment="1" applyBorder="1" applyFont="1" applyNumberFormat="1">
      <alignment readingOrder="0" vertical="center"/>
    </xf>
    <xf borderId="1" fillId="0" fontId="2" numFmtId="3" xfId="0" applyAlignment="1" applyBorder="1" applyFont="1" applyNumberFormat="1">
      <alignment vertical="center"/>
    </xf>
    <xf borderId="1" fillId="6" fontId="2" numFmtId="3" xfId="0" applyAlignment="1" applyBorder="1" applyFill="1" applyFont="1" applyNumberFormat="1">
      <alignment horizontal="center" vertical="center"/>
    </xf>
    <xf borderId="1" fillId="0" fontId="2" numFmtId="3" xfId="0" applyAlignment="1" applyBorder="1" applyFont="1" applyNumberFormat="1">
      <alignment horizontal="right" vertical="center"/>
    </xf>
    <xf borderId="1" fillId="0" fontId="6" numFmtId="3" xfId="0" applyAlignment="1" applyBorder="1" applyFont="1" applyNumberFormat="1">
      <alignment readingOrder="0"/>
    </xf>
    <xf borderId="0" fillId="0" fontId="2" numFmtId="3" xfId="0" applyAlignment="1" applyFont="1" applyNumberFormat="1">
      <alignment horizontal="left" vertical="center"/>
    </xf>
    <xf borderId="1" fillId="0" fontId="7" numFmtId="3" xfId="0" applyAlignment="1" applyBorder="1" applyFont="1" applyNumberFormat="1">
      <alignment vertical="center"/>
    </xf>
    <xf borderId="1" fillId="0" fontId="8" numFmtId="3" xfId="0" applyAlignment="1" applyBorder="1" applyFont="1" applyNumberFormat="1">
      <alignment readingOrder="0" vertical="center"/>
    </xf>
    <xf borderId="0" fillId="0" fontId="1" numFmtId="3" xfId="0" applyAlignment="1" applyFont="1" applyNumberFormat="1">
      <alignment horizontal="left" vertical="center"/>
    </xf>
    <xf borderId="1" fillId="4" fontId="2" numFmtId="9" xfId="0" applyAlignment="1" applyBorder="1" applyFont="1" applyNumberFormat="1">
      <alignment horizontal="center" shrinkToFit="0" vertical="center" wrapText="1"/>
    </xf>
    <xf borderId="1" fillId="0" fontId="6" numFmtId="3" xfId="0" applyAlignment="1" applyBorder="1" applyFont="1" applyNumberFormat="1">
      <alignment vertical="bottom"/>
    </xf>
    <xf borderId="1" fillId="7" fontId="2" numFmtId="3" xfId="0" applyAlignment="1" applyBorder="1" applyFill="1" applyFont="1" applyNumberFormat="1">
      <alignment horizontal="center" vertical="center"/>
    </xf>
    <xf borderId="0" fillId="0" fontId="2" numFmtId="9" xfId="0" applyAlignment="1" applyFont="1" applyNumberFormat="1">
      <alignment horizontal="center" vertical="center"/>
    </xf>
    <xf borderId="11" fillId="5" fontId="1" numFmtId="3" xfId="0" applyAlignment="1" applyBorder="1" applyFont="1" applyNumberFormat="1">
      <alignment horizontal="left" vertical="center"/>
    </xf>
    <xf borderId="16" fillId="0" fontId="2" numFmtId="3" xfId="0" applyAlignment="1" applyBorder="1" applyFont="1" applyNumberFormat="1">
      <alignment horizontal="left" vertical="center"/>
    </xf>
    <xf borderId="1" fillId="5" fontId="2" numFmtId="3" xfId="0" applyAlignment="1" applyBorder="1" applyFont="1" applyNumberFormat="1">
      <alignment vertical="center"/>
    </xf>
    <xf borderId="17" fillId="8" fontId="1" numFmtId="3" xfId="0" applyAlignment="1" applyBorder="1" applyFill="1" applyFont="1" applyNumberFormat="1">
      <alignment vertical="center"/>
    </xf>
    <xf borderId="18" fillId="8" fontId="1" numFmtId="3" xfId="0" applyAlignment="1" applyBorder="1" applyFont="1" applyNumberFormat="1">
      <alignment vertical="center"/>
    </xf>
    <xf borderId="1" fillId="8" fontId="1" numFmtId="3" xfId="0" applyAlignment="1" applyBorder="1" applyFont="1" applyNumberFormat="1">
      <alignment vertical="center"/>
    </xf>
    <xf borderId="10" fillId="0" fontId="2" numFmtId="3" xfId="0" applyAlignment="1" applyBorder="1" applyFont="1" applyNumberFormat="1">
      <alignment vertical="center"/>
    </xf>
    <xf borderId="15" fillId="0" fontId="2" numFmtId="3" xfId="0" applyAlignment="1" applyBorder="1" applyFont="1" applyNumberFormat="1">
      <alignment vertical="center"/>
    </xf>
    <xf borderId="1" fillId="0" fontId="2" numFmtId="9" xfId="0" applyAlignment="1" applyBorder="1" applyFont="1" applyNumberFormat="1">
      <alignment horizontal="center" vertical="center"/>
    </xf>
    <xf borderId="1" fillId="0" fontId="4" numFmtId="3" xfId="0" applyAlignment="1" applyBorder="1" applyFont="1" applyNumberFormat="1">
      <alignment vertical="center"/>
    </xf>
    <xf borderId="19" fillId="0" fontId="2" numFmtId="3" xfId="0" applyAlignment="1" applyBorder="1" applyFont="1" applyNumberFormat="1">
      <alignment vertical="center"/>
    </xf>
    <xf borderId="20" fillId="0" fontId="2" numFmtId="3" xfId="0" applyAlignment="1" applyBorder="1" applyFont="1" applyNumberFormat="1">
      <alignment vertical="center"/>
    </xf>
    <xf borderId="0" fillId="0" fontId="2" numFmtId="10" xfId="0" applyAlignment="1" applyFont="1" applyNumberFormat="1">
      <alignment vertical="center"/>
    </xf>
    <xf borderId="0" fillId="0" fontId="2" numFmtId="164" xfId="0" applyAlignment="1" applyFont="1" applyNumberFormat="1">
      <alignment vertical="center"/>
    </xf>
    <xf borderId="0" fillId="0" fontId="9" numFmtId="3" xfId="0" applyAlignment="1" applyFont="1" applyNumberFormat="1">
      <alignment horizontal="left" readingOrder="0" shrinkToFit="0" wrapText="1"/>
    </xf>
    <xf borderId="0" fillId="0" fontId="4" numFmtId="0" xfId="0" applyAlignment="1" applyFont="1">
      <alignment horizontal="center" vertical="center"/>
    </xf>
    <xf borderId="0" fillId="0" fontId="2" numFmtId="0" xfId="0" applyAlignment="1" applyFont="1">
      <alignment vertical="center"/>
    </xf>
    <xf borderId="11" fillId="3" fontId="1" numFmtId="0" xfId="0" applyAlignment="1" applyBorder="1" applyFont="1">
      <alignment horizontal="center" shrinkToFit="0" vertical="center" wrapText="1"/>
    </xf>
    <xf borderId="11" fillId="9" fontId="1" numFmtId="0" xfId="0" applyAlignment="1" applyBorder="1" applyFill="1" applyFont="1">
      <alignment horizontal="center" vertical="center"/>
    </xf>
    <xf borderId="5" fillId="0" fontId="1" numFmtId="0" xfId="0" applyAlignment="1" applyBorder="1" applyFont="1">
      <alignment vertical="center"/>
    </xf>
    <xf borderId="0" fillId="0" fontId="1" numFmtId="0" xfId="0" applyAlignment="1" applyFont="1">
      <alignment vertical="center"/>
    </xf>
    <xf borderId="6" fillId="0" fontId="2" numFmtId="0" xfId="0" applyAlignment="1" applyBorder="1" applyFont="1">
      <alignment vertical="center"/>
    </xf>
    <xf borderId="5" fillId="0" fontId="2" numFmtId="0" xfId="0" applyAlignment="1" applyBorder="1" applyFont="1">
      <alignment vertical="center"/>
    </xf>
    <xf borderId="21" fillId="0" fontId="1" numFmtId="0" xfId="0" applyAlignment="1" applyBorder="1" applyFont="1">
      <alignment horizontal="center" shrinkToFit="0" vertical="center" wrapText="1"/>
    </xf>
    <xf borderId="22" fillId="0" fontId="2" numFmtId="0" xfId="0" applyAlignment="1" applyBorder="1" applyFont="1">
      <alignment horizontal="left" shrinkToFit="0" vertical="center" wrapText="1"/>
    </xf>
    <xf borderId="23" fillId="0" fontId="2" numFmtId="3" xfId="0" applyAlignment="1" applyBorder="1" applyFont="1" applyNumberFormat="1">
      <alignment horizontal="right" shrinkToFit="0" vertical="center" wrapText="1"/>
    </xf>
    <xf borderId="19" fillId="0" fontId="2" numFmtId="3" xfId="0" applyAlignment="1" applyBorder="1" applyFont="1" applyNumberFormat="1">
      <alignment horizontal="right" shrinkToFit="0" vertical="center" wrapText="1"/>
    </xf>
    <xf borderId="24" fillId="0" fontId="2" numFmtId="0" xfId="0" applyAlignment="1" applyBorder="1" applyFont="1">
      <alignment shrinkToFit="0" vertical="center" wrapText="1"/>
    </xf>
    <xf borderId="25" fillId="0" fontId="2" numFmtId="0" xfId="0" applyAlignment="1" applyBorder="1" applyFont="1">
      <alignment horizontal="left" shrinkToFit="0" vertical="center" wrapText="1"/>
    </xf>
    <xf borderId="1" fillId="0" fontId="2" numFmtId="3" xfId="0" applyAlignment="1" applyBorder="1" applyFont="1" applyNumberFormat="1">
      <alignment horizontal="right" shrinkToFit="0" vertical="center" wrapText="1"/>
    </xf>
    <xf borderId="10" fillId="0" fontId="2" numFmtId="3" xfId="0" applyAlignment="1" applyBorder="1" applyFont="1" applyNumberFormat="1">
      <alignment horizontal="right" shrinkToFit="0" vertical="center" wrapText="1"/>
    </xf>
    <xf borderId="26" fillId="0" fontId="2" numFmtId="0" xfId="0" applyAlignment="1" applyBorder="1" applyFont="1">
      <alignment shrinkToFit="0" vertical="center" wrapText="1"/>
    </xf>
    <xf borderId="27" fillId="0" fontId="2" numFmtId="3" xfId="0" applyAlignment="1" applyBorder="1" applyFont="1" applyNumberFormat="1">
      <alignment horizontal="right" shrinkToFit="0" vertical="center" wrapText="1"/>
    </xf>
    <xf borderId="28" fillId="0" fontId="1" numFmtId="0" xfId="0" applyAlignment="1" applyBorder="1" applyFont="1">
      <alignment horizontal="left" shrinkToFit="0" vertical="center" wrapText="1"/>
    </xf>
    <xf borderId="29" fillId="0" fontId="1" numFmtId="3" xfId="0" applyAlignment="1" applyBorder="1" applyFont="1" applyNumberFormat="1">
      <alignment horizontal="right" shrinkToFit="0" vertical="center" wrapText="1"/>
    </xf>
    <xf borderId="30" fillId="0" fontId="1" numFmtId="3" xfId="0" applyAlignment="1" applyBorder="1" applyFont="1" applyNumberFormat="1">
      <alignment horizontal="right" shrinkToFit="0" vertical="center" wrapText="1"/>
    </xf>
    <xf borderId="31" fillId="0" fontId="2" numFmtId="0" xfId="0" applyAlignment="1" applyBorder="1" applyFont="1">
      <alignment shrinkToFit="0" vertical="center" wrapText="1"/>
    </xf>
    <xf borderId="0" fillId="0" fontId="1" numFmtId="0" xfId="0" applyAlignment="1" applyFont="1">
      <alignment horizontal="left" shrinkToFit="0" vertical="center" wrapText="1"/>
    </xf>
    <xf borderId="0" fillId="0" fontId="1" numFmtId="3" xfId="0" applyAlignment="1" applyFont="1" applyNumberFormat="1">
      <alignment horizontal="right" shrinkToFit="0" vertical="center" wrapText="1"/>
    </xf>
    <xf borderId="0" fillId="0" fontId="2" numFmtId="0" xfId="0" applyAlignment="1" applyFont="1">
      <alignment shrinkToFit="0" vertical="center" wrapText="1"/>
    </xf>
  </cellXfs>
  <cellStyles count="1">
    <cellStyle xfId="0" name="Normal" builtinId="0"/>
  </cellStyles>
  <dxfs count="3">
    <dxf>
      <font>
        <color rgb="FFFF0000"/>
      </font>
      <fill>
        <patternFill patternType="solid">
          <fgColor rgb="FFFFFF00"/>
          <bgColor rgb="FFFFFF00"/>
        </patternFill>
      </fill>
      <border/>
    </dxf>
    <dxf>
      <font>
        <color rgb="FFFF0000"/>
      </font>
      <fill>
        <patternFill patternType="none"/>
      </fill>
      <border/>
    </dxf>
    <dxf>
      <font>
        <color rgb="FF00B050"/>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16</xdr:row>
      <xdr:rowOff>66675</xdr:rowOff>
    </xdr:from>
    <xdr:ext cx="13087350" cy="7781925"/>
    <xdr:sp>
      <xdr:nvSpPr>
        <xdr:cNvPr id="3" name="Shape 3"/>
        <xdr:cNvSpPr txBox="1"/>
      </xdr:nvSpPr>
      <xdr:spPr>
        <a:xfrm>
          <a:off x="0" y="0"/>
          <a:ext cx="10692000" cy="7560000"/>
        </a:xfrm>
        <a:prstGeom prst="rect">
          <a:avLst/>
        </a:prstGeom>
        <a:solidFill>
          <a:srgbClr val="F2F2F2"/>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rgbClr val="FF0000"/>
              </a:solidFill>
              <a:latin typeface="Calibri"/>
              <a:ea typeface="Calibri"/>
              <a:cs typeface="Calibri"/>
              <a:sym typeface="Calibri"/>
            </a:rPr>
            <a:t>INDICACIONES IMPORTANTES</a:t>
          </a:r>
          <a:endParaRPr sz="1400"/>
        </a:p>
        <a:p>
          <a:pPr indent="0" lvl="0" marL="0" rtl="0" algn="l">
            <a:spcBef>
              <a:spcPts val="0"/>
            </a:spcBef>
            <a:spcAft>
              <a:spcPts val="0"/>
            </a:spcAft>
            <a:buNone/>
          </a:pPr>
          <a:r>
            <a:t/>
          </a:r>
          <a:endParaRPr sz="1100"/>
        </a:p>
        <a:p>
          <a:pPr indent="0" lvl="0" marL="0" marR="0" rtl="0" algn="l">
            <a:lnSpc>
              <a:spcPct val="100000"/>
            </a:lnSpc>
            <a:spcBef>
              <a:spcPts val="0"/>
            </a:spcBef>
            <a:spcAft>
              <a:spcPts val="0"/>
            </a:spcAft>
            <a:buSzPts val="1100"/>
            <a:buFont typeface="Arial"/>
            <a:buNone/>
          </a:pPr>
          <a:r>
            <a:rPr lang="en-US" sz="1100">
              <a:solidFill>
                <a:schemeClr val="dk1"/>
              </a:solidFill>
              <a:latin typeface="Calibri"/>
              <a:ea typeface="Calibri"/>
              <a:cs typeface="Calibri"/>
              <a:sym typeface="Calibri"/>
            </a:rPr>
            <a:t>1. Esta planilla debe ser completada en pesos $. Ponga atención al ingresar la información desde la plataforma de postulación</a:t>
          </a:r>
          <a:r>
            <a:rPr lang="en-US" sz="1100">
              <a:solidFill>
                <a:schemeClr val="dk1"/>
              </a:solidFill>
              <a:latin typeface="Calibri"/>
              <a:ea typeface="Calibri"/>
              <a:cs typeface="Calibri"/>
              <a:sym typeface="Calibri"/>
            </a:rPr>
            <a:t> y la información de las cartas de compromisos, pues en ellas los montos se expresan en miles de pesos (M$).</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2. El subsidio máximo a solicitar a la ANID será </a:t>
          </a:r>
          <a:r>
            <a:rPr b="0" lang="en-US" sz="1100">
              <a:solidFill>
                <a:schemeClr val="dk1"/>
              </a:solidFill>
              <a:latin typeface="Calibri"/>
              <a:ea typeface="Calibri"/>
              <a:cs typeface="Calibri"/>
              <a:sym typeface="Calibri"/>
            </a:rPr>
            <a:t>de</a:t>
          </a:r>
          <a:r>
            <a:rPr b="1" lang="en-US" sz="1100">
              <a:solidFill>
                <a:schemeClr val="dk1"/>
              </a:solidFill>
              <a:latin typeface="Calibri"/>
              <a:ea typeface="Calibri"/>
              <a:cs typeface="Calibri"/>
              <a:sym typeface="Calibri"/>
            </a:rPr>
            <a:t> </a:t>
          </a:r>
          <a:r>
            <a:rPr b="1" lang="en-US" sz="1100">
              <a:solidFill>
                <a:srgbClr val="FF0000"/>
              </a:solidFill>
              <a:latin typeface="Calibri"/>
              <a:ea typeface="Calibri"/>
              <a:cs typeface="Calibri"/>
              <a:sym typeface="Calibri"/>
            </a:rPr>
            <a:t>hasta $237 millones de pesos</a:t>
          </a:r>
          <a:r>
            <a:rPr lang="en-US" sz="1100">
              <a:solidFill>
                <a:schemeClr val="dk1"/>
              </a:solidFill>
              <a:latin typeface="Calibri"/>
              <a:ea typeface="Calibri"/>
              <a:cs typeface="Calibri"/>
              <a:sym typeface="Calibri"/>
            </a:rPr>
            <a:t>. En caso de presentarse con más de una entidad beneficiaria, cada una de las beneficiarias secundarias deberá disponer de al menos un 20% del subsidio total solicitado a ANID por el proyecto. El financiamiento de ANID estará condicionado a un cofinanciamiento mínimo de un 15% del subsidio solicitado como aporte de la(s) beneficiaria(s) y al menos un 30% del subsidio solicitado como aporte de las entidades asociadas. Considerar que las entidades asociadas deberán aportar al menos un 10% del subsidio</a:t>
          </a:r>
          <a:r>
            <a:rPr lang="en-US" sz="1100">
              <a:solidFill>
                <a:schemeClr val="dk1"/>
              </a:solidFill>
              <a:latin typeface="Calibri"/>
              <a:ea typeface="Calibri"/>
              <a:cs typeface="Calibri"/>
              <a:sym typeface="Calibri"/>
            </a:rPr>
            <a:t> solicitado</a:t>
          </a:r>
          <a:r>
            <a:rPr lang="en-US" sz="1100">
              <a:solidFill>
                <a:schemeClr val="dk1"/>
              </a:solidFill>
              <a:latin typeface="Calibri"/>
              <a:ea typeface="Calibri"/>
              <a:cs typeface="Calibri"/>
              <a:sym typeface="Calibri"/>
            </a:rPr>
            <a:t> como aporte incremental.</a:t>
          </a:r>
          <a:endParaRPr sz="14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3. PERSONAL PREEXISTENTE CON PAGO REMUNERACIÓN. Indique el monto de reumeración que se pagará con cargo al subsidio para personal preexistente por mes. Sólo se podrá aplicar a personal preexistente cuya remuneración bruta mensual (según contrato con la beneficiaria) sea menor a $2.700.000. Sólo se podrá aplicar a personal con una participación mayor a 80hrs/mes. El monto tope a pagar es de $2.700.000/mes para personal con dedicación exclusiva al proyecto (160hrs/mes), aplicandose un pago proporcional en función de la jornada dedicada al proyecto en caso de dedicación parcial.</a:t>
          </a:r>
          <a:endParaRPr sz="1400"/>
        </a:p>
        <a:p>
          <a:pPr indent="0" lvl="0" marL="0" rtl="0" algn="l">
            <a:spcBef>
              <a:spcPts val="0"/>
            </a:spcBef>
            <a:spcAft>
              <a:spcPts val="0"/>
            </a:spcAft>
            <a:buNone/>
          </a:pPr>
          <a:r>
            <a:t/>
          </a:r>
          <a:endParaRPr b="0" i="0" sz="11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4.</a:t>
          </a:r>
          <a:r>
            <a:rPr b="0" i="0" lang="en-US" sz="1100" u="none" strike="noStrike">
              <a:solidFill>
                <a:schemeClr val="dk1"/>
              </a:solidFill>
              <a:latin typeface="Calibri"/>
              <a:ea typeface="Calibri"/>
              <a:cs typeface="Calibri"/>
              <a:sym typeface="Calibri"/>
            </a:rPr>
            <a:t> </a:t>
          </a:r>
          <a:r>
            <a:rPr b="0" i="0" lang="en-US" sz="1100" u="none" strike="noStrike">
              <a:solidFill>
                <a:schemeClr val="dk1"/>
              </a:solidFill>
              <a:latin typeface="Calibri"/>
              <a:ea typeface="Calibri"/>
              <a:cs typeface="Calibri"/>
              <a:sym typeface="Calibri"/>
            </a:rPr>
            <a:t>Se sugiere incluir en honorarios a un profesional con capacidades en transferencia y negocios tecnológicos (con recursos de ANID o de otras fuentes).</a:t>
          </a:r>
          <a:r>
            <a:rPr lang="en-US" sz="1100">
              <a:solidFill>
                <a:schemeClr val="dk1"/>
              </a:solidFill>
              <a:latin typeface="Calibri"/>
              <a:ea typeface="Calibri"/>
              <a:cs typeface="Calibri"/>
              <a:sym typeface="Calibri"/>
            </a:rPr>
            <a:t> </a:t>
          </a:r>
          <a:r>
            <a:rPr b="0" i="0" lang="en-US" sz="1100" u="none" strike="noStrike">
              <a:solidFill>
                <a:schemeClr val="dk1"/>
              </a:solidFill>
              <a:latin typeface="Calibri"/>
              <a:ea typeface="Calibri"/>
              <a:cs typeface="Calibri"/>
              <a:sym typeface="Calibri"/>
            </a:rPr>
            <a:t>Se sugiere considerar en personal de apoyo la contratación de una persona para gestión financiera del proyecto.</a:t>
          </a:r>
          <a:r>
            <a:rPr lang="en-US" sz="1100">
              <a:solidFill>
                <a:schemeClr val="dk1"/>
              </a:solidFill>
              <a:latin typeface="Calibri"/>
              <a:ea typeface="Calibri"/>
              <a:cs typeface="Calibri"/>
              <a:sym typeface="Calibri"/>
            </a:rPr>
            <a:t> </a:t>
          </a:r>
          <a:r>
            <a:rPr b="0" i="0" lang="en-US" sz="1100" u="none" strike="noStrike">
              <a:solidFill>
                <a:schemeClr val="dk1"/>
              </a:solidFill>
              <a:latin typeface="Calibri"/>
              <a:ea typeface="Calibri"/>
              <a:cs typeface="Calibri"/>
              <a:sym typeface="Calibri"/>
            </a:rPr>
            <a:t> </a:t>
          </a:r>
          <a:r>
            <a:rPr lang="en-US" sz="1100">
              <a:solidFill>
                <a:schemeClr val="dk1"/>
              </a:solidFill>
              <a:latin typeface="Calibri"/>
              <a:ea typeface="Calibri"/>
              <a:cs typeface="Calibri"/>
              <a:sym typeface="Calibri"/>
            </a:rPr>
            <a:t> </a:t>
          </a:r>
          <a:endParaRPr sz="1400"/>
        </a:p>
        <a:p>
          <a:pPr indent="0" lvl="0" marL="0" rtl="0" algn="l">
            <a:spcBef>
              <a:spcPts val="0"/>
            </a:spcBef>
            <a:spcAft>
              <a:spcPts val="0"/>
            </a:spcAft>
            <a:buNone/>
          </a:pPr>
          <a:r>
            <a:t/>
          </a:r>
          <a:endParaRPr b="0" i="0" sz="11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5. Se podrá reconocer un pago adicional al sueldo base en caso de personal preexistente con una dedicación mínima de 36hrs/mes y por un monto máximo mensual a pagar por persona de $600.000 bruto y no podrá superar al monto aportado por la institución por concepto de remuneraciones para cada persona.</a:t>
          </a:r>
          <a:endParaRPr sz="1400"/>
        </a:p>
        <a:p>
          <a:pPr indent="0" lvl="0" marL="0" rtl="0" algn="l">
            <a:spcBef>
              <a:spcPts val="0"/>
            </a:spcBef>
            <a:spcAft>
              <a:spcPts val="0"/>
            </a:spcAft>
            <a:buNone/>
          </a:pPr>
          <a:r>
            <a:t/>
          </a:r>
          <a:endParaRPr b="0" i="0" sz="11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6. Recuerde que un equipo es considerado como tal sólo en el caso que la entidad beneficiaria lo incluya en el inventario y asegure en la póliza de equipos.</a:t>
          </a:r>
          <a:endParaRPr sz="1400"/>
        </a:p>
        <a:p>
          <a:pPr indent="0" lvl="0" marL="0" rtl="0" algn="l">
            <a:spcBef>
              <a:spcPts val="0"/>
            </a:spcBef>
            <a:spcAft>
              <a:spcPts val="0"/>
            </a:spcAft>
            <a:buNone/>
          </a:pPr>
          <a:r>
            <a:t/>
          </a:r>
          <a:endParaRPr b="0" i="0" sz="11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7. Para la definición de los aportes Incrementales y No Incrementales de los Recursos, ver "Definiciones" en las Bases del Concurso.</a:t>
          </a:r>
          <a:endParaRPr sz="1400"/>
        </a:p>
        <a:p>
          <a:pPr indent="0" lvl="0" marL="0" rtl="0" algn="l">
            <a:spcBef>
              <a:spcPts val="0"/>
            </a:spcBef>
            <a:spcAft>
              <a:spcPts val="0"/>
            </a:spcAft>
            <a:buNone/>
          </a:pPr>
          <a:r>
            <a:t/>
          </a:r>
          <a:endParaRPr b="0" i="0" sz="11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8. Sólo se financia acondicionamiento de infraestructura existente.</a:t>
          </a:r>
          <a:endParaRPr sz="1400"/>
        </a:p>
        <a:p>
          <a:pPr indent="0" lvl="0" marL="0" rtl="0" algn="l">
            <a:spcBef>
              <a:spcPts val="0"/>
            </a:spcBef>
            <a:spcAft>
              <a:spcPts val="0"/>
            </a:spcAft>
            <a:buNone/>
          </a:pPr>
          <a:r>
            <a:t/>
          </a:r>
          <a:endParaRPr b="0" i="0" sz="11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9.</a:t>
          </a:r>
          <a:r>
            <a:rPr b="0" i="0" lang="en-US" sz="1100" u="none" strike="noStrike">
              <a:solidFill>
                <a:schemeClr val="dk1"/>
              </a:solidFill>
              <a:latin typeface="Calibri"/>
              <a:ea typeface="Calibri"/>
              <a:cs typeface="Calibri"/>
              <a:sym typeface="Calibri"/>
            </a:rPr>
            <a:t> </a:t>
          </a:r>
          <a:r>
            <a:rPr b="0" i="0" lang="en-US" sz="1100" u="none" strike="noStrike">
              <a:solidFill>
                <a:schemeClr val="dk1"/>
              </a:solidFill>
              <a:latin typeface="Calibri"/>
              <a:ea typeface="Calibri"/>
              <a:cs typeface="Calibri"/>
              <a:sym typeface="Calibri"/>
            </a:rPr>
            <a:t>Recuerde que al momento de realizar gastos, se debe cumplir con los requerimientos establecidos en el convenio de subsidio del proyecto y en el  Instructivo General de Rendición de Cuentas.</a:t>
          </a:r>
          <a:r>
            <a:rPr lang="en-US" sz="1100">
              <a:solidFill>
                <a:schemeClr val="dk1"/>
              </a:solidFill>
              <a:latin typeface="Calibri"/>
              <a:ea typeface="Calibri"/>
              <a:cs typeface="Calibri"/>
              <a:sym typeface="Calibri"/>
            </a:rPr>
            <a:t> </a:t>
          </a:r>
          <a:endParaRPr sz="1400"/>
        </a:p>
        <a:p>
          <a:pPr indent="0" lvl="0" marL="0" rtl="0" algn="l">
            <a:spcBef>
              <a:spcPts val="0"/>
            </a:spcBef>
            <a:spcAft>
              <a:spcPts val="0"/>
            </a:spcAft>
            <a:buNone/>
          </a:pPr>
          <a:r>
            <a:t/>
          </a:r>
          <a:endParaRPr b="0" i="0" sz="11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10. No se podrán comprar fungibles a las entidades asociadas al proyecto.</a:t>
          </a:r>
          <a:endParaRPr sz="1400"/>
        </a:p>
        <a:p>
          <a:pPr indent="0" lvl="0" marL="0" rtl="0" algn="l">
            <a:spcBef>
              <a:spcPts val="0"/>
            </a:spcBef>
            <a:spcAft>
              <a:spcPts val="0"/>
            </a:spcAft>
            <a:buNone/>
          </a:pPr>
          <a:r>
            <a:t/>
          </a:r>
          <a:endParaRPr b="0" i="0" sz="11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11. Ninguna tarea sustancial</a:t>
          </a:r>
          <a:r>
            <a:rPr b="0" i="0" lang="en-US" sz="1100" u="none" strike="noStrike">
              <a:solidFill>
                <a:schemeClr val="dk1"/>
              </a:solidFill>
              <a:latin typeface="Calibri"/>
              <a:ea typeface="Calibri"/>
              <a:cs typeface="Calibri"/>
              <a:sym typeface="Calibri"/>
            </a:rPr>
            <a:t> debe ser subcontratada ya que estas tareas deben ser realizadas por el mismo equipo del proyecto.</a:t>
          </a:r>
          <a:endParaRPr sz="1400"/>
        </a:p>
        <a:p>
          <a:pPr indent="0" lvl="0" marL="0" rtl="0" algn="l">
            <a:spcBef>
              <a:spcPts val="0"/>
            </a:spcBef>
            <a:spcAft>
              <a:spcPts val="0"/>
            </a:spcAft>
            <a:buNone/>
          </a:pPr>
          <a:r>
            <a:t/>
          </a:r>
          <a:endParaRPr b="0" i="0" sz="11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12.</a:t>
          </a:r>
          <a:r>
            <a:rPr b="0" i="0" lang="en-US" sz="1100" u="none" strike="noStrike">
              <a:solidFill>
                <a:schemeClr val="dk1"/>
              </a:solidFill>
              <a:latin typeface="Calibri"/>
              <a:ea typeface="Calibri"/>
              <a:cs typeface="Calibri"/>
              <a:sym typeface="Calibri"/>
            </a:rPr>
            <a:t> </a:t>
          </a:r>
          <a:r>
            <a:rPr b="0" i="0" lang="en-US" sz="1100" u="none" strike="noStrike">
              <a:solidFill>
                <a:schemeClr val="dk1"/>
              </a:solidFill>
              <a:latin typeface="Calibri"/>
              <a:ea typeface="Calibri"/>
              <a:cs typeface="Calibri"/>
              <a:sym typeface="Calibri"/>
            </a:rPr>
            <a:t>No se podrán subcontratar servicios de las entidades asociadas al proyecto.</a:t>
          </a:r>
          <a:r>
            <a:rPr lang="en-US" sz="1100">
              <a:solidFill>
                <a:schemeClr val="dk1"/>
              </a:solidFill>
              <a:latin typeface="Calibri"/>
              <a:ea typeface="Calibri"/>
              <a:cs typeface="Calibri"/>
              <a:sym typeface="Calibri"/>
            </a:rPr>
            <a:t> </a:t>
          </a:r>
          <a:endParaRPr sz="1400"/>
        </a:p>
        <a:p>
          <a:pPr indent="0" lvl="0" marL="0" rtl="0" algn="l">
            <a:spcBef>
              <a:spcPts val="0"/>
            </a:spcBef>
            <a:spcAft>
              <a:spcPts val="0"/>
            </a:spcAft>
            <a:buNone/>
          </a:pPr>
          <a:r>
            <a:t/>
          </a:r>
          <a:endParaRPr b="0" i="0" sz="11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13. Debe detallar</a:t>
          </a:r>
          <a:r>
            <a:rPr b="0" i="0" lang="en-US" sz="1100" u="none" strike="noStrike">
              <a:solidFill>
                <a:schemeClr val="dk1"/>
              </a:solidFill>
              <a:latin typeface="Calibri"/>
              <a:ea typeface="Calibri"/>
              <a:cs typeface="Calibri"/>
              <a:sym typeface="Calibri"/>
            </a:rPr>
            <a:t> </a:t>
          </a:r>
          <a:r>
            <a:rPr b="0" i="0" lang="en-US" sz="1100" u="none" strike="noStrike">
              <a:solidFill>
                <a:schemeClr val="dk1"/>
              </a:solidFill>
              <a:latin typeface="Calibri"/>
              <a:ea typeface="Calibri"/>
              <a:cs typeface="Calibri"/>
              <a:sym typeface="Calibri"/>
            </a:rPr>
            <a:t>el objetivo de cada viaje internacional y su relación con actividades de Investigación y Desarrollo o de Transferencia Tecnológica. Los montos diarios considerados para viáticos no deben exceder aquellos permitidos por la institución beneficiaria respectiva.</a:t>
          </a:r>
          <a:r>
            <a:rPr lang="en-US" sz="1100">
              <a:solidFill>
                <a:schemeClr val="dk1"/>
              </a:solidFill>
              <a:latin typeface="Calibri"/>
              <a:ea typeface="Calibri"/>
              <a:cs typeface="Calibri"/>
              <a:sym typeface="Calibri"/>
            </a:rPr>
            <a:t> </a:t>
          </a:r>
          <a:endParaRPr sz="1400"/>
        </a:p>
        <a:p>
          <a:pPr indent="0" lvl="0" marL="0" rtl="0" algn="l">
            <a:spcBef>
              <a:spcPts val="0"/>
            </a:spcBef>
            <a:spcAft>
              <a:spcPts val="0"/>
            </a:spcAft>
            <a:buNone/>
          </a:pPr>
          <a:r>
            <a:t/>
          </a:r>
          <a:endParaRPr b="0" i="0" sz="11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14. Los</a:t>
          </a:r>
          <a:r>
            <a:rPr b="0" i="0" lang="en-US" sz="1100" u="none" strike="noStrike">
              <a:solidFill>
                <a:schemeClr val="dk1"/>
              </a:solidFill>
              <a:latin typeface="Calibri"/>
              <a:ea typeface="Calibri"/>
              <a:cs typeface="Calibri"/>
              <a:sym typeface="Calibri"/>
            </a:rPr>
            <a:t> gastos de administración indirectos (overhead o gastos de administración superior) </a:t>
          </a:r>
          <a:r>
            <a:rPr b="0" i="0" lang="en-US" sz="1100" u="none" strike="noStrike">
              <a:solidFill>
                <a:schemeClr val="dk1"/>
              </a:solidFill>
              <a:latin typeface="Calibri"/>
              <a:ea typeface="Calibri"/>
              <a:cs typeface="Calibri"/>
              <a:sym typeface="Calibri"/>
            </a:rPr>
            <a:t>no podrán ser superior al 15% de lo solicitado como subsidio ANID al proyecto.</a:t>
          </a:r>
          <a:r>
            <a:rPr b="0" i="0" lang="en-US" sz="1100" u="none" strike="noStrike">
              <a:solidFill>
                <a:schemeClr val="dk1"/>
              </a:solidFill>
              <a:latin typeface="Calibri"/>
              <a:ea typeface="Calibri"/>
              <a:cs typeface="Calibri"/>
              <a:sym typeface="Calibri"/>
            </a:rPr>
            <a:t> </a:t>
          </a:r>
          <a:r>
            <a:rPr b="0" i="0" lang="en-US" sz="1100" u="none" strike="noStrike">
              <a:solidFill>
                <a:schemeClr val="dk1"/>
              </a:solidFill>
              <a:latin typeface="Calibri"/>
              <a:ea typeface="Calibri"/>
              <a:cs typeface="Calibri"/>
              <a:sym typeface="Calibri"/>
            </a:rPr>
            <a:t>En caso de postular con más de una beneficiaria, cada una de las beneficiarias debe cumplir con el porcentaje máximo exigido. </a:t>
          </a:r>
          <a:endParaRPr sz="1400"/>
        </a:p>
        <a:p>
          <a:pPr indent="0" lvl="0" marL="0" rtl="0" algn="l">
            <a:spcBef>
              <a:spcPts val="0"/>
            </a:spcBef>
            <a:spcAft>
              <a:spcPts val="0"/>
            </a:spcAft>
            <a:buNone/>
          </a:pPr>
          <a:r>
            <a:t/>
          </a:r>
          <a:endParaRPr b="0" i="0" sz="11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15. Los proyectos con más de una institución beneficiaria deben cumplir con la asignación del 20% del subsidio total a cada beneficiaria secundaria. Esta validación de presupuesto NO ESTÁ configurada en la planilla de costos, pero SE APLICA en la sección de presupuesto de la plataforma de postulación, de acuerdo a lo establecido en las bases.</a:t>
          </a:r>
          <a:r>
            <a:rPr lang="en-US" sz="1100">
              <a:solidFill>
                <a:schemeClr val="dk1"/>
              </a:solidFill>
              <a:latin typeface="Calibri"/>
              <a:ea typeface="Calibri"/>
              <a:cs typeface="Calibri"/>
              <a:sym typeface="Calibri"/>
            </a:rPr>
            <a:t> </a:t>
          </a:r>
          <a:endParaRPr sz="1400"/>
        </a:p>
        <a:p>
          <a:pPr indent="0" lvl="0" marL="0" rtl="0" algn="l">
            <a:spcBef>
              <a:spcPts val="0"/>
            </a:spcBef>
            <a:spcAft>
              <a:spcPts val="0"/>
            </a:spcAft>
            <a:buNone/>
          </a:pPr>
          <a:r>
            <a:t/>
          </a:r>
          <a:endParaRPr b="0" i="0" sz="11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16. Los porcentajes de aporte de las entidades beneficiarias y asociadas se deben calcular en relación al monto del subsidio total solicitado a ANID.</a:t>
          </a:r>
          <a:r>
            <a:rPr lang="en-US" sz="1100">
              <a:solidFill>
                <a:schemeClr val="dk1"/>
              </a:solidFill>
              <a:latin typeface="Calibri"/>
              <a:ea typeface="Calibri"/>
              <a:cs typeface="Calibri"/>
              <a:sym typeface="Calibri"/>
            </a:rPr>
            <a:t> </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13"/>
    <col customWidth="1" min="2" max="3" width="27.38"/>
    <col customWidth="1" min="4" max="4" width="14.38"/>
    <col customWidth="1" min="5" max="26" width="11.38"/>
  </cols>
  <sheetData>
    <row r="1" ht="12.75" customHeight="1">
      <c r="A1" s="1" t="s">
        <v>0</v>
      </c>
      <c r="B1" s="1"/>
      <c r="C1" s="1"/>
      <c r="D1" s="1"/>
      <c r="E1" s="2"/>
      <c r="F1" s="2"/>
      <c r="G1" s="2"/>
      <c r="H1" s="2"/>
      <c r="I1" s="2"/>
      <c r="J1" s="2"/>
      <c r="K1" s="2"/>
      <c r="L1" s="2"/>
      <c r="M1" s="2"/>
      <c r="N1" s="2"/>
      <c r="O1" s="2"/>
      <c r="P1" s="2"/>
      <c r="Q1" s="2"/>
      <c r="R1" s="2"/>
      <c r="S1" s="2"/>
      <c r="T1" s="2"/>
      <c r="U1" s="2"/>
      <c r="V1" s="2"/>
      <c r="W1" s="2"/>
      <c r="X1" s="2"/>
      <c r="Y1" s="2"/>
      <c r="Z1" s="2"/>
    </row>
    <row r="2" ht="12.75" customHeight="1">
      <c r="A2" s="2"/>
      <c r="B2" s="2"/>
      <c r="C2" s="2"/>
      <c r="D2" s="2"/>
      <c r="E2" s="2"/>
      <c r="F2" s="2"/>
      <c r="G2" s="2"/>
      <c r="H2" s="2"/>
      <c r="I2" s="2"/>
      <c r="J2" s="2"/>
      <c r="K2" s="2"/>
      <c r="L2" s="2"/>
      <c r="M2" s="2"/>
      <c r="N2" s="2"/>
      <c r="O2" s="2"/>
      <c r="P2" s="2"/>
      <c r="Q2" s="2"/>
      <c r="R2" s="2"/>
      <c r="S2" s="2"/>
      <c r="T2" s="2"/>
      <c r="U2" s="2"/>
      <c r="V2" s="2"/>
      <c r="W2" s="2"/>
      <c r="X2" s="2"/>
      <c r="Y2" s="2"/>
      <c r="Z2" s="2"/>
    </row>
    <row r="3" ht="12.75" customHeight="1">
      <c r="A3" s="3" t="s">
        <v>1</v>
      </c>
      <c r="B3" s="4" t="s">
        <v>2</v>
      </c>
      <c r="C3" s="2"/>
      <c r="D3" s="5" t="s">
        <v>3</v>
      </c>
      <c r="E3" s="6"/>
      <c r="F3" s="7"/>
      <c r="G3" s="2"/>
      <c r="H3" s="2"/>
      <c r="I3" s="2"/>
      <c r="J3" s="2"/>
      <c r="K3" s="2"/>
      <c r="L3" s="2"/>
      <c r="M3" s="2"/>
      <c r="N3" s="2"/>
      <c r="O3" s="2"/>
      <c r="P3" s="2"/>
      <c r="Q3" s="2"/>
      <c r="R3" s="2"/>
      <c r="S3" s="2"/>
      <c r="T3" s="2"/>
      <c r="U3" s="2"/>
      <c r="V3" s="2"/>
      <c r="W3" s="2"/>
      <c r="X3" s="2"/>
      <c r="Y3" s="2"/>
      <c r="Z3" s="2"/>
    </row>
    <row r="4" ht="12.75" customHeight="1">
      <c r="A4" s="8" t="s">
        <v>4</v>
      </c>
      <c r="B4" s="8"/>
      <c r="C4" s="2"/>
      <c r="D4" s="9"/>
      <c r="F4" s="10"/>
      <c r="G4" s="2"/>
      <c r="H4" s="2"/>
      <c r="I4" s="2"/>
      <c r="J4" s="2"/>
      <c r="K4" s="2"/>
      <c r="L4" s="2"/>
      <c r="M4" s="2"/>
      <c r="N4" s="2"/>
      <c r="O4" s="2"/>
      <c r="P4" s="2"/>
      <c r="Q4" s="2"/>
      <c r="R4" s="2"/>
      <c r="S4" s="2"/>
      <c r="T4" s="2"/>
      <c r="U4" s="2"/>
      <c r="V4" s="2"/>
      <c r="W4" s="2"/>
      <c r="X4" s="2"/>
      <c r="Y4" s="2"/>
      <c r="Z4" s="2"/>
    </row>
    <row r="5" ht="12.75" customHeight="1">
      <c r="A5" s="8" t="s">
        <v>5</v>
      </c>
      <c r="B5" s="11" t="s">
        <v>6</v>
      </c>
      <c r="C5" s="2"/>
      <c r="D5" s="9"/>
      <c r="F5" s="10"/>
      <c r="G5" s="2"/>
      <c r="H5" s="2"/>
      <c r="I5" s="2"/>
      <c r="J5" s="2"/>
      <c r="K5" s="2"/>
      <c r="L5" s="2"/>
      <c r="M5" s="2"/>
      <c r="N5" s="2"/>
      <c r="O5" s="2"/>
      <c r="P5" s="2"/>
      <c r="Q5" s="2"/>
      <c r="R5" s="2"/>
      <c r="S5" s="2"/>
      <c r="T5" s="2"/>
      <c r="U5" s="2"/>
      <c r="V5" s="2"/>
      <c r="W5" s="2"/>
      <c r="X5" s="2"/>
      <c r="Y5" s="2"/>
      <c r="Z5" s="2"/>
    </row>
    <row r="6" ht="12.75" customHeight="1">
      <c r="A6" s="8" t="s">
        <v>7</v>
      </c>
      <c r="B6" s="11" t="s">
        <v>8</v>
      </c>
      <c r="C6" s="2"/>
      <c r="D6" s="9"/>
      <c r="F6" s="10"/>
      <c r="G6" s="2"/>
      <c r="H6" s="2"/>
      <c r="I6" s="2"/>
      <c r="J6" s="2"/>
      <c r="K6" s="2"/>
      <c r="L6" s="2"/>
      <c r="M6" s="2"/>
      <c r="N6" s="2"/>
      <c r="O6" s="2"/>
      <c r="P6" s="2"/>
      <c r="Q6" s="2"/>
      <c r="R6" s="2"/>
      <c r="S6" s="2"/>
      <c r="T6" s="2"/>
      <c r="U6" s="2"/>
      <c r="V6" s="2"/>
      <c r="W6" s="2"/>
      <c r="X6" s="2"/>
      <c r="Y6" s="2"/>
      <c r="Z6" s="2"/>
    </row>
    <row r="7" ht="12.75" customHeight="1">
      <c r="A7" s="12" t="s">
        <v>9</v>
      </c>
      <c r="B7" s="11" t="s">
        <v>10</v>
      </c>
      <c r="C7" s="2"/>
      <c r="D7" s="13"/>
      <c r="E7" s="14"/>
      <c r="F7" s="15"/>
      <c r="G7" s="16"/>
      <c r="H7" s="16"/>
      <c r="I7" s="16"/>
      <c r="J7" s="16"/>
      <c r="K7" s="2"/>
      <c r="L7" s="2"/>
      <c r="M7" s="2"/>
      <c r="N7" s="2"/>
      <c r="O7" s="2"/>
      <c r="P7" s="2"/>
      <c r="Q7" s="2"/>
      <c r="R7" s="2"/>
      <c r="S7" s="2"/>
      <c r="T7" s="2"/>
      <c r="U7" s="2"/>
      <c r="V7" s="2"/>
      <c r="W7" s="2"/>
      <c r="X7" s="2"/>
      <c r="Y7" s="2"/>
      <c r="Z7" s="2"/>
    </row>
    <row r="8" ht="12.75" customHeight="1">
      <c r="A8" s="12" t="s">
        <v>11</v>
      </c>
      <c r="B8" s="11" t="s">
        <v>12</v>
      </c>
      <c r="C8" s="2"/>
      <c r="D8" s="2"/>
      <c r="E8" s="17"/>
      <c r="F8" s="17"/>
      <c r="G8" s="17"/>
      <c r="H8" s="17"/>
      <c r="I8" s="17"/>
      <c r="J8" s="17"/>
      <c r="K8" s="2"/>
      <c r="L8" s="2"/>
      <c r="M8" s="2"/>
      <c r="N8" s="2"/>
      <c r="O8" s="2"/>
      <c r="P8" s="2"/>
      <c r="Q8" s="2"/>
      <c r="R8" s="2"/>
      <c r="S8" s="2"/>
      <c r="T8" s="2"/>
      <c r="U8" s="2"/>
      <c r="V8" s="2"/>
      <c r="W8" s="2"/>
      <c r="X8" s="2"/>
      <c r="Y8" s="2"/>
      <c r="Z8" s="2"/>
    </row>
    <row r="9" ht="12.75" customHeight="1">
      <c r="A9" s="12" t="s">
        <v>13</v>
      </c>
      <c r="B9" s="11" t="s">
        <v>14</v>
      </c>
      <c r="C9" s="2"/>
      <c r="D9" s="2"/>
      <c r="E9" s="2"/>
      <c r="F9" s="2"/>
      <c r="G9" s="2"/>
      <c r="H9" s="2"/>
      <c r="I9" s="2"/>
      <c r="J9" s="2"/>
      <c r="K9" s="2"/>
      <c r="L9" s="2"/>
      <c r="M9" s="2"/>
      <c r="N9" s="2"/>
      <c r="O9" s="2"/>
      <c r="P9" s="2"/>
      <c r="Q9" s="2"/>
      <c r="R9" s="2"/>
      <c r="S9" s="2"/>
      <c r="T9" s="2"/>
      <c r="U9" s="2"/>
      <c r="V9" s="2"/>
      <c r="W9" s="2"/>
      <c r="X9" s="2"/>
      <c r="Y9" s="2"/>
      <c r="Z9" s="2"/>
    </row>
    <row r="10" ht="12.75" customHeight="1">
      <c r="A10" s="8" t="s">
        <v>15</v>
      </c>
      <c r="B10" s="11" t="s">
        <v>12</v>
      </c>
      <c r="C10" s="2"/>
      <c r="D10" s="18" t="s">
        <v>16</v>
      </c>
      <c r="E10" s="2"/>
      <c r="F10" s="2"/>
      <c r="G10" s="2"/>
      <c r="H10" s="2"/>
      <c r="I10" s="2"/>
      <c r="J10" s="2"/>
      <c r="K10" s="2"/>
      <c r="L10" s="2"/>
      <c r="M10" s="2"/>
      <c r="N10" s="2"/>
      <c r="O10" s="2"/>
      <c r="P10" s="2"/>
      <c r="Q10" s="2"/>
      <c r="R10" s="2"/>
      <c r="S10" s="2"/>
      <c r="T10" s="2"/>
      <c r="U10" s="2"/>
      <c r="V10" s="2"/>
      <c r="W10" s="2"/>
      <c r="X10" s="2"/>
      <c r="Y10" s="2"/>
      <c r="Z10" s="2"/>
    </row>
    <row r="11" ht="12.75" customHeight="1">
      <c r="A11" s="8" t="s">
        <v>17</v>
      </c>
      <c r="B11" s="8"/>
      <c r="C11" s="2"/>
      <c r="D11" s="2"/>
      <c r="E11" s="2"/>
      <c r="F11" s="2"/>
      <c r="G11" s="2"/>
      <c r="H11" s="2"/>
      <c r="I11" s="2"/>
      <c r="J11" s="2"/>
      <c r="K11" s="2"/>
      <c r="L11" s="2"/>
      <c r="M11" s="2"/>
      <c r="N11" s="2"/>
      <c r="O11" s="2"/>
      <c r="P11" s="2"/>
      <c r="Q11" s="2"/>
      <c r="R11" s="2"/>
      <c r="S11" s="2"/>
      <c r="T11" s="2"/>
      <c r="U11" s="2"/>
      <c r="V11" s="2"/>
      <c r="W11" s="2"/>
      <c r="X11" s="2"/>
      <c r="Y11" s="2"/>
      <c r="Z11" s="2"/>
    </row>
    <row r="12" ht="12.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2.75" customHeight="1">
      <c r="A13" s="3" t="s">
        <v>18</v>
      </c>
      <c r="B13" s="4" t="s">
        <v>19</v>
      </c>
      <c r="C13" s="4" t="s">
        <v>20</v>
      </c>
      <c r="D13" s="2"/>
      <c r="E13" s="2"/>
      <c r="F13" s="2"/>
      <c r="G13" s="2"/>
      <c r="H13" s="2"/>
      <c r="I13" s="2"/>
      <c r="J13" s="2"/>
      <c r="K13" s="2"/>
      <c r="L13" s="2"/>
      <c r="M13" s="2"/>
      <c r="N13" s="2"/>
      <c r="O13" s="2"/>
      <c r="P13" s="2"/>
      <c r="Q13" s="2"/>
      <c r="R13" s="2"/>
      <c r="S13" s="2"/>
      <c r="T13" s="2"/>
      <c r="U13" s="2"/>
      <c r="V13" s="2"/>
      <c r="W13" s="2"/>
      <c r="X13" s="2"/>
      <c r="Y13" s="2"/>
      <c r="Z13" s="2"/>
    </row>
    <row r="14" ht="12.75" customHeight="1">
      <c r="A14" s="8" t="s">
        <v>21</v>
      </c>
      <c r="B14" s="19">
        <v>2.37E8</v>
      </c>
      <c r="C14" s="20">
        <f>'DETALLE GASTOS'!B94</f>
        <v>237000000</v>
      </c>
      <c r="D14" s="21" t="str">
        <f t="shared" ref="D14:D16" si="1">IF(B14=C14,"Validado","Error")</f>
        <v>Validado</v>
      </c>
      <c r="E14" s="22" t="s">
        <v>22</v>
      </c>
      <c r="F14" s="6"/>
      <c r="G14" s="6"/>
      <c r="H14" s="6"/>
      <c r="I14" s="6"/>
      <c r="J14" s="7"/>
      <c r="K14" s="2"/>
      <c r="L14" s="2"/>
      <c r="M14" s="2"/>
      <c r="N14" s="2"/>
      <c r="O14" s="2"/>
      <c r="P14" s="2"/>
      <c r="Q14" s="2"/>
      <c r="R14" s="2"/>
      <c r="S14" s="2"/>
      <c r="T14" s="2"/>
      <c r="U14" s="2"/>
      <c r="V14" s="2"/>
      <c r="W14" s="2"/>
      <c r="X14" s="2"/>
      <c r="Y14" s="2"/>
      <c r="Z14" s="2"/>
    </row>
    <row r="15" ht="12.75" customHeight="1">
      <c r="A15" s="8" t="s">
        <v>23</v>
      </c>
      <c r="B15" s="19">
        <v>6.048E7</v>
      </c>
      <c r="C15" s="20">
        <f>'DETALLE GASTOS'!C95</f>
        <v>60480000</v>
      </c>
      <c r="D15" s="21" t="str">
        <f t="shared" si="1"/>
        <v>Validado</v>
      </c>
      <c r="E15" s="9"/>
      <c r="J15" s="10"/>
      <c r="K15" s="2"/>
      <c r="L15" s="2"/>
      <c r="M15" s="2"/>
      <c r="N15" s="2"/>
      <c r="O15" s="2"/>
      <c r="P15" s="2"/>
      <c r="Q15" s="2"/>
      <c r="R15" s="2"/>
      <c r="S15" s="2"/>
      <c r="T15" s="2"/>
      <c r="U15" s="2"/>
      <c r="V15" s="2"/>
      <c r="W15" s="2"/>
      <c r="X15" s="2"/>
      <c r="Y15" s="2"/>
      <c r="Z15" s="2"/>
    </row>
    <row r="16" ht="12.75" customHeight="1">
      <c r="A16" s="8" t="s">
        <v>24</v>
      </c>
      <c r="B16" s="23">
        <f>23700000+47410634.5777777</f>
        <v>71110634.58</v>
      </c>
      <c r="C16" s="20">
        <f>'DETALLE GASTOS'!E95</f>
        <v>71110634.58</v>
      </c>
      <c r="D16" s="21" t="str">
        <f t="shared" si="1"/>
        <v>Validado</v>
      </c>
      <c r="E16" s="13"/>
      <c r="F16" s="14"/>
      <c r="G16" s="14"/>
      <c r="H16" s="14"/>
      <c r="I16" s="14"/>
      <c r="J16" s="15"/>
      <c r="K16" s="2"/>
      <c r="L16" s="2"/>
      <c r="M16" s="2"/>
      <c r="N16" s="2"/>
      <c r="O16" s="2"/>
      <c r="P16" s="2"/>
      <c r="Q16" s="2"/>
      <c r="R16" s="2"/>
      <c r="S16" s="2"/>
      <c r="T16" s="2"/>
      <c r="U16" s="2"/>
      <c r="V16" s="2"/>
      <c r="W16" s="2"/>
      <c r="X16" s="2"/>
      <c r="Y16" s="2"/>
      <c r="Z16" s="2"/>
    </row>
    <row r="17" ht="12.75" customHeight="1">
      <c r="A17" s="2"/>
      <c r="B17" s="24"/>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D3:F7"/>
    <mergeCell ref="E14:J16"/>
  </mergeCells>
  <conditionalFormatting sqref="D14:D16">
    <cfRule type="cellIs" dxfId="0" priority="1" operator="equal">
      <formula>"Error"</formula>
    </cfRule>
  </conditionalFormatting>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75"/>
    <col customWidth="1" min="2" max="2" width="17.63"/>
    <col customWidth="1" min="3" max="3" width="31.88"/>
    <col customWidth="1" min="4" max="4" width="23.38"/>
    <col customWidth="1" min="5" max="5" width="11.88"/>
    <col customWidth="1" min="6" max="6" width="12.0"/>
    <col customWidth="1" min="7" max="7" width="11.38"/>
    <col customWidth="1" min="8" max="8" width="23.5"/>
    <col customWidth="1" min="9" max="9" width="11.75"/>
    <col customWidth="1" min="10" max="10" width="12.75"/>
    <col customWidth="1" min="11" max="13" width="12.63"/>
    <col customWidth="1" min="14" max="14" width="12.38"/>
    <col customWidth="1" min="15" max="15" width="11.13"/>
    <col customWidth="1" min="16" max="16" width="10.38"/>
    <col customWidth="1" min="17" max="17" width="14.88"/>
    <col customWidth="1" min="18" max="26" width="11.38"/>
  </cols>
  <sheetData>
    <row r="1" ht="12.75" customHeight="1">
      <c r="A1" s="5" t="s">
        <v>3</v>
      </c>
      <c r="B1" s="6"/>
      <c r="C1" s="7"/>
      <c r="D1" s="25"/>
      <c r="E1" s="25"/>
      <c r="F1" s="25"/>
      <c r="G1" s="25"/>
      <c r="H1" s="26"/>
      <c r="I1" s="26"/>
      <c r="J1" s="25"/>
      <c r="K1" s="25"/>
      <c r="L1" s="26"/>
      <c r="M1" s="26"/>
      <c r="N1" s="25"/>
      <c r="O1" s="25"/>
      <c r="P1" s="26"/>
      <c r="Q1" s="26"/>
      <c r="R1" s="25"/>
      <c r="S1" s="25"/>
      <c r="T1" s="25"/>
      <c r="U1" s="25"/>
      <c r="V1" s="25"/>
      <c r="W1" s="25"/>
      <c r="X1" s="25"/>
      <c r="Y1" s="25"/>
      <c r="Z1" s="25"/>
    </row>
    <row r="2" ht="12.75" customHeight="1">
      <c r="A2" s="9"/>
      <c r="C2" s="10"/>
      <c r="D2" s="25"/>
      <c r="E2" s="25"/>
      <c r="F2" s="25"/>
      <c r="G2" s="26"/>
      <c r="H2" s="25"/>
      <c r="I2" s="25"/>
      <c r="J2" s="25"/>
      <c r="K2" s="26"/>
      <c r="L2" s="25"/>
      <c r="M2" s="25"/>
      <c r="N2" s="25"/>
      <c r="O2" s="26"/>
      <c r="P2" s="25"/>
      <c r="Q2" s="25"/>
      <c r="R2" s="25"/>
      <c r="S2" s="25"/>
      <c r="T2" s="25"/>
      <c r="U2" s="25"/>
      <c r="V2" s="25"/>
      <c r="W2" s="25"/>
      <c r="X2" s="25"/>
      <c r="Y2" s="25"/>
      <c r="Z2" s="25"/>
    </row>
    <row r="3" ht="12.75" customHeight="1">
      <c r="A3" s="13"/>
      <c r="B3" s="14"/>
      <c r="C3" s="15"/>
      <c r="D3" s="25"/>
      <c r="E3" s="25"/>
      <c r="F3" s="25"/>
      <c r="G3" s="26"/>
      <c r="H3" s="25"/>
      <c r="I3" s="25"/>
      <c r="J3" s="25"/>
      <c r="K3" s="26"/>
      <c r="L3" s="25"/>
      <c r="M3" s="25"/>
      <c r="N3" s="25"/>
      <c r="O3" s="26"/>
      <c r="P3" s="25"/>
      <c r="Q3" s="25"/>
      <c r="R3" s="25"/>
      <c r="S3" s="25"/>
      <c r="T3" s="25"/>
      <c r="U3" s="25"/>
      <c r="V3" s="25"/>
      <c r="W3" s="25"/>
      <c r="X3" s="25"/>
      <c r="Y3" s="25"/>
      <c r="Z3" s="25"/>
    </row>
    <row r="4" ht="12.75" customHeight="1">
      <c r="A4" s="25"/>
      <c r="B4" s="25"/>
      <c r="C4" s="25"/>
      <c r="D4" s="25"/>
      <c r="E4" s="25"/>
      <c r="F4" s="25"/>
      <c r="G4" s="26"/>
      <c r="H4" s="25"/>
      <c r="I4" s="25"/>
      <c r="J4" s="25"/>
      <c r="K4" s="26"/>
      <c r="L4" s="25"/>
      <c r="M4" s="25"/>
      <c r="N4" s="25"/>
      <c r="O4" s="26"/>
      <c r="P4" s="25"/>
      <c r="Q4" s="25"/>
      <c r="R4" s="25"/>
      <c r="S4" s="25"/>
      <c r="T4" s="25"/>
      <c r="U4" s="25"/>
      <c r="V4" s="25"/>
      <c r="W4" s="25"/>
      <c r="X4" s="25"/>
      <c r="Y4" s="25"/>
      <c r="Z4" s="25"/>
    </row>
    <row r="5" ht="12.75" customHeight="1">
      <c r="A5" s="27" t="s">
        <v>25</v>
      </c>
      <c r="B5" s="28"/>
      <c r="C5" s="28"/>
      <c r="D5" s="28"/>
      <c r="E5" s="28"/>
      <c r="F5" s="29"/>
      <c r="G5" s="25"/>
      <c r="H5" s="25"/>
      <c r="I5" s="25"/>
      <c r="J5" s="25"/>
      <c r="K5" s="25"/>
      <c r="L5" s="25"/>
      <c r="M5" s="25"/>
      <c r="N5" s="25"/>
      <c r="O5" s="25"/>
      <c r="P5" s="25"/>
      <c r="Q5" s="25"/>
      <c r="R5" s="25"/>
      <c r="S5" s="25"/>
      <c r="T5" s="25"/>
      <c r="U5" s="25"/>
      <c r="V5" s="25"/>
      <c r="W5" s="25"/>
      <c r="X5" s="25"/>
      <c r="Y5" s="25"/>
      <c r="Z5" s="25"/>
    </row>
    <row r="6" ht="12.75" customHeight="1">
      <c r="A6" s="25"/>
      <c r="B6" s="25"/>
      <c r="C6" s="25"/>
      <c r="D6" s="25"/>
      <c r="E6" s="25"/>
      <c r="F6" s="25"/>
      <c r="G6" s="25"/>
      <c r="H6" s="30" t="s">
        <v>26</v>
      </c>
      <c r="I6" s="31"/>
      <c r="J6" s="31"/>
      <c r="K6" s="31"/>
      <c r="L6" s="32"/>
      <c r="M6" s="25"/>
      <c r="N6" s="25"/>
      <c r="O6" s="25"/>
      <c r="P6" s="25"/>
      <c r="Q6" s="25"/>
      <c r="R6" s="25"/>
      <c r="S6" s="25"/>
      <c r="T6" s="25"/>
      <c r="U6" s="25"/>
      <c r="V6" s="25"/>
      <c r="W6" s="25"/>
      <c r="X6" s="25"/>
      <c r="Y6" s="25"/>
      <c r="Z6" s="25"/>
    </row>
    <row r="7" ht="12.75" customHeight="1">
      <c r="A7" s="33" t="s">
        <v>27</v>
      </c>
      <c r="B7" s="33" t="s">
        <v>28</v>
      </c>
      <c r="C7" s="33" t="s">
        <v>29</v>
      </c>
      <c r="D7" s="33" t="s">
        <v>30</v>
      </c>
      <c r="E7" s="33" t="s">
        <v>31</v>
      </c>
      <c r="F7" s="33" t="s">
        <v>32</v>
      </c>
      <c r="G7" s="34" t="s">
        <v>33</v>
      </c>
      <c r="H7" s="35" t="s">
        <v>34</v>
      </c>
      <c r="I7" s="35" t="s">
        <v>35</v>
      </c>
      <c r="J7" s="35" t="s">
        <v>36</v>
      </c>
      <c r="K7" s="35" t="s">
        <v>37</v>
      </c>
      <c r="L7" s="35" t="s">
        <v>38</v>
      </c>
      <c r="M7" s="33" t="s">
        <v>39</v>
      </c>
      <c r="N7" s="33" t="s">
        <v>40</v>
      </c>
      <c r="O7" s="36"/>
      <c r="P7" s="36"/>
      <c r="Q7" s="36"/>
      <c r="R7" s="36"/>
      <c r="S7" s="36"/>
      <c r="T7" s="36"/>
      <c r="U7" s="36"/>
      <c r="V7" s="36"/>
      <c r="W7" s="36"/>
      <c r="X7" s="36"/>
      <c r="Y7" s="36"/>
      <c r="Z7" s="36"/>
    </row>
    <row r="8" ht="12.75" customHeight="1">
      <c r="A8" s="37" t="s">
        <v>41</v>
      </c>
      <c r="B8" s="37" t="s">
        <v>42</v>
      </c>
      <c r="C8" s="37" t="s">
        <v>10</v>
      </c>
      <c r="D8" s="37">
        <v>176.0</v>
      </c>
      <c r="E8" s="38">
        <f>D8*14500</f>
        <v>2552000</v>
      </c>
      <c r="F8" s="37">
        <v>15.0</v>
      </c>
      <c r="G8" s="38">
        <f t="shared" ref="G8:G13" si="1">E8*F8</f>
        <v>38280000</v>
      </c>
      <c r="H8" s="38">
        <f t="shared" ref="H8:H13" si="2">G8</f>
        <v>38280000</v>
      </c>
      <c r="I8" s="38">
        <v>0.0</v>
      </c>
      <c r="J8" s="38">
        <v>0.0</v>
      </c>
      <c r="K8" s="38">
        <v>0.0</v>
      </c>
      <c r="L8" s="38">
        <v>0.0</v>
      </c>
      <c r="M8" s="38">
        <f t="shared" ref="M8:M13" si="3">SUM(H8:L8)</f>
        <v>38280000</v>
      </c>
      <c r="N8" s="25" t="str">
        <f t="shared" ref="N8:N14" si="4">IF(G8=M8,"Validado","Error")</f>
        <v>Validado</v>
      </c>
      <c r="O8" s="25"/>
      <c r="P8" s="25"/>
      <c r="Q8" s="25"/>
      <c r="R8" s="25"/>
      <c r="S8" s="25"/>
      <c r="T8" s="25"/>
      <c r="U8" s="25"/>
      <c r="V8" s="25"/>
      <c r="W8" s="25"/>
      <c r="X8" s="25"/>
      <c r="Y8" s="25"/>
      <c r="Z8" s="25"/>
    </row>
    <row r="9" ht="12.75" customHeight="1">
      <c r="A9" s="37" t="s">
        <v>43</v>
      </c>
      <c r="B9" s="37" t="s">
        <v>44</v>
      </c>
      <c r="C9" s="37" t="s">
        <v>10</v>
      </c>
      <c r="D9" s="37">
        <v>96.0</v>
      </c>
      <c r="E9" s="38">
        <f>D9*11000</f>
        <v>1056000</v>
      </c>
      <c r="F9" s="37">
        <v>24.0</v>
      </c>
      <c r="G9" s="38">
        <f t="shared" si="1"/>
        <v>25344000</v>
      </c>
      <c r="H9" s="38">
        <f t="shared" si="2"/>
        <v>25344000</v>
      </c>
      <c r="I9" s="38">
        <v>0.0</v>
      </c>
      <c r="J9" s="38">
        <v>0.0</v>
      </c>
      <c r="K9" s="38">
        <v>0.0</v>
      </c>
      <c r="L9" s="38">
        <v>0.0</v>
      </c>
      <c r="M9" s="38">
        <f t="shared" si="3"/>
        <v>25344000</v>
      </c>
      <c r="N9" s="25" t="str">
        <f t="shared" si="4"/>
        <v>Validado</v>
      </c>
      <c r="O9" s="25"/>
      <c r="P9" s="25"/>
      <c r="Q9" s="25"/>
      <c r="R9" s="25"/>
      <c r="S9" s="25"/>
      <c r="T9" s="25"/>
      <c r="U9" s="25"/>
      <c r="V9" s="25"/>
      <c r="W9" s="25"/>
      <c r="X9" s="25"/>
      <c r="Y9" s="25"/>
      <c r="Z9" s="25"/>
    </row>
    <row r="10" ht="12.75" customHeight="1">
      <c r="A10" s="37" t="s">
        <v>45</v>
      </c>
      <c r="B10" s="37" t="s">
        <v>46</v>
      </c>
      <c r="C10" s="37" t="s">
        <v>10</v>
      </c>
      <c r="D10" s="37">
        <v>35.0</v>
      </c>
      <c r="E10" s="38">
        <f t="shared" ref="E10:E11" si="5">D10*14500</f>
        <v>507500</v>
      </c>
      <c r="F10" s="37">
        <v>6.0</v>
      </c>
      <c r="G10" s="38">
        <f t="shared" si="1"/>
        <v>3045000</v>
      </c>
      <c r="H10" s="38">
        <f t="shared" si="2"/>
        <v>3045000</v>
      </c>
      <c r="I10" s="38">
        <v>0.0</v>
      </c>
      <c r="J10" s="38">
        <v>0.0</v>
      </c>
      <c r="K10" s="38">
        <v>0.0</v>
      </c>
      <c r="L10" s="38">
        <v>0.0</v>
      </c>
      <c r="M10" s="38">
        <f t="shared" si="3"/>
        <v>3045000</v>
      </c>
      <c r="N10" s="25" t="str">
        <f t="shared" si="4"/>
        <v>Validado</v>
      </c>
      <c r="O10" s="25"/>
      <c r="P10" s="25"/>
      <c r="Q10" s="25"/>
      <c r="R10" s="25"/>
      <c r="S10" s="25"/>
      <c r="T10" s="25"/>
      <c r="U10" s="25"/>
      <c r="V10" s="25"/>
      <c r="W10" s="25"/>
      <c r="X10" s="25"/>
      <c r="Y10" s="25"/>
      <c r="Z10" s="25"/>
    </row>
    <row r="11" ht="12.75" customHeight="1">
      <c r="A11" s="37" t="s">
        <v>47</v>
      </c>
      <c r="B11" s="37" t="s">
        <v>48</v>
      </c>
      <c r="C11" s="37" t="s">
        <v>10</v>
      </c>
      <c r="D11" s="37">
        <v>176.0</v>
      </c>
      <c r="E11" s="38">
        <f t="shared" si="5"/>
        <v>2552000</v>
      </c>
      <c r="F11" s="37">
        <v>15.0</v>
      </c>
      <c r="G11" s="38">
        <f t="shared" si="1"/>
        <v>38280000</v>
      </c>
      <c r="H11" s="38">
        <f t="shared" si="2"/>
        <v>38280000</v>
      </c>
      <c r="I11" s="38">
        <v>0.0</v>
      </c>
      <c r="J11" s="38">
        <v>0.0</v>
      </c>
      <c r="K11" s="38">
        <v>0.0</v>
      </c>
      <c r="L11" s="38">
        <v>0.0</v>
      </c>
      <c r="M11" s="38">
        <f t="shared" si="3"/>
        <v>38280000</v>
      </c>
      <c r="N11" s="25" t="str">
        <f t="shared" si="4"/>
        <v>Validado</v>
      </c>
      <c r="O11" s="25"/>
      <c r="P11" s="25"/>
      <c r="Q11" s="25"/>
      <c r="R11" s="25"/>
      <c r="S11" s="25"/>
      <c r="T11" s="25"/>
      <c r="U11" s="25"/>
      <c r="V11" s="25"/>
      <c r="W11" s="25"/>
      <c r="X11" s="25"/>
      <c r="Y11" s="25"/>
      <c r="Z11" s="25"/>
    </row>
    <row r="12" ht="12.75" customHeight="1">
      <c r="A12" s="37" t="s">
        <v>49</v>
      </c>
      <c r="B12" s="37" t="s">
        <v>50</v>
      </c>
      <c r="C12" s="37" t="s">
        <v>10</v>
      </c>
      <c r="D12" s="37">
        <v>60.0</v>
      </c>
      <c r="E12" s="38">
        <f t="shared" ref="E12:E13" si="6">D12*6000</f>
        <v>360000</v>
      </c>
      <c r="F12" s="37">
        <v>4.0</v>
      </c>
      <c r="G12" s="38">
        <f t="shared" si="1"/>
        <v>1440000</v>
      </c>
      <c r="H12" s="38">
        <f t="shared" si="2"/>
        <v>1440000</v>
      </c>
      <c r="I12" s="38"/>
      <c r="J12" s="38"/>
      <c r="K12" s="38"/>
      <c r="L12" s="38">
        <v>0.0</v>
      </c>
      <c r="M12" s="38">
        <f t="shared" si="3"/>
        <v>1440000</v>
      </c>
      <c r="N12" s="25" t="str">
        <f t="shared" si="4"/>
        <v>Validado</v>
      </c>
      <c r="O12" s="25"/>
      <c r="P12" s="25"/>
      <c r="Q12" s="25"/>
      <c r="R12" s="25"/>
      <c r="S12" s="25"/>
      <c r="T12" s="25"/>
      <c r="U12" s="25"/>
      <c r="V12" s="25"/>
      <c r="W12" s="25"/>
      <c r="X12" s="25"/>
      <c r="Y12" s="25"/>
      <c r="Z12" s="25"/>
    </row>
    <row r="13" ht="12.75" customHeight="1">
      <c r="A13" s="37" t="s">
        <v>51</v>
      </c>
      <c r="B13" s="37" t="s">
        <v>52</v>
      </c>
      <c r="C13" s="37" t="s">
        <v>10</v>
      </c>
      <c r="D13" s="37">
        <v>60.0</v>
      </c>
      <c r="E13" s="38">
        <f t="shared" si="6"/>
        <v>360000</v>
      </c>
      <c r="F13" s="37">
        <v>4.0</v>
      </c>
      <c r="G13" s="38">
        <f t="shared" si="1"/>
        <v>1440000</v>
      </c>
      <c r="H13" s="38">
        <f t="shared" si="2"/>
        <v>1440000</v>
      </c>
      <c r="I13" s="38"/>
      <c r="J13" s="38"/>
      <c r="K13" s="38"/>
      <c r="L13" s="38">
        <v>0.0</v>
      </c>
      <c r="M13" s="38">
        <f t="shared" si="3"/>
        <v>1440000</v>
      </c>
      <c r="N13" s="25" t="str">
        <f t="shared" si="4"/>
        <v>Validado</v>
      </c>
      <c r="O13" s="25"/>
      <c r="P13" s="25"/>
      <c r="Q13" s="25"/>
      <c r="R13" s="25"/>
      <c r="S13" s="25"/>
      <c r="T13" s="25"/>
      <c r="U13" s="25"/>
      <c r="V13" s="25"/>
      <c r="W13" s="25"/>
      <c r="X13" s="25"/>
      <c r="Y13" s="25"/>
      <c r="Z13" s="25"/>
    </row>
    <row r="14" ht="12.75" customHeight="1">
      <c r="A14" s="25"/>
      <c r="B14" s="25"/>
      <c r="C14" s="25"/>
      <c r="D14" s="25"/>
      <c r="E14" s="25"/>
      <c r="F14" s="25"/>
      <c r="G14" s="38">
        <f t="shared" ref="G14:M14" si="7">SUM(G8:G13)</f>
        <v>107829000</v>
      </c>
      <c r="H14" s="38">
        <f t="shared" si="7"/>
        <v>107829000</v>
      </c>
      <c r="I14" s="38">
        <f t="shared" si="7"/>
        <v>0</v>
      </c>
      <c r="J14" s="38">
        <f t="shared" si="7"/>
        <v>0</v>
      </c>
      <c r="K14" s="38">
        <f t="shared" si="7"/>
        <v>0</v>
      </c>
      <c r="L14" s="38">
        <f t="shared" si="7"/>
        <v>0</v>
      </c>
      <c r="M14" s="38">
        <f t="shared" si="7"/>
        <v>107829000</v>
      </c>
      <c r="N14" s="25" t="str">
        <f t="shared" si="4"/>
        <v>Validado</v>
      </c>
      <c r="O14" s="25"/>
      <c r="P14" s="25"/>
      <c r="Q14" s="25"/>
      <c r="R14" s="25"/>
      <c r="S14" s="25"/>
      <c r="T14" s="25"/>
      <c r="U14" s="25"/>
      <c r="V14" s="25"/>
      <c r="W14" s="25"/>
      <c r="X14" s="25"/>
      <c r="Y14" s="25"/>
      <c r="Z14" s="25"/>
    </row>
    <row r="15" ht="12.75" customHeight="1">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ht="12.75" customHeight="1">
      <c r="A16" s="27" t="s">
        <v>53</v>
      </c>
      <c r="B16" s="28"/>
      <c r="C16" s="28"/>
      <c r="D16" s="28"/>
      <c r="E16" s="28"/>
      <c r="F16" s="29"/>
      <c r="G16" s="25"/>
      <c r="H16" s="25"/>
      <c r="I16" s="25"/>
      <c r="J16" s="25"/>
      <c r="K16" s="25"/>
      <c r="L16" s="25"/>
      <c r="M16" s="25"/>
      <c r="N16" s="25"/>
      <c r="O16" s="25"/>
      <c r="P16" s="25"/>
      <c r="Q16" s="25"/>
      <c r="R16" s="25"/>
      <c r="S16" s="25"/>
      <c r="T16" s="25"/>
      <c r="U16" s="25"/>
      <c r="V16" s="25"/>
      <c r="W16" s="25"/>
      <c r="X16" s="25"/>
      <c r="Y16" s="25"/>
      <c r="Z16" s="25"/>
    </row>
    <row r="17" ht="12.75" customHeight="1">
      <c r="A17" s="25"/>
      <c r="B17" s="25"/>
      <c r="C17" s="25"/>
      <c r="D17" s="25"/>
      <c r="E17" s="25"/>
      <c r="F17" s="25"/>
      <c r="G17" s="25"/>
      <c r="H17" s="25"/>
      <c r="I17" s="25"/>
      <c r="J17" s="30" t="s">
        <v>54</v>
      </c>
      <c r="K17" s="31"/>
      <c r="L17" s="31"/>
      <c r="M17" s="31"/>
      <c r="N17" s="32"/>
      <c r="O17" s="25"/>
      <c r="P17" s="25"/>
      <c r="Q17" s="25"/>
      <c r="R17" s="25"/>
      <c r="S17" s="25"/>
      <c r="T17" s="25"/>
      <c r="U17" s="25"/>
      <c r="V17" s="25"/>
      <c r="W17" s="25"/>
      <c r="X17" s="25"/>
      <c r="Y17" s="25"/>
      <c r="Z17" s="25"/>
    </row>
    <row r="18" ht="12.75" customHeight="1">
      <c r="A18" s="33" t="s">
        <v>27</v>
      </c>
      <c r="B18" s="33" t="s">
        <v>28</v>
      </c>
      <c r="C18" s="33" t="s">
        <v>29</v>
      </c>
      <c r="D18" s="33" t="s">
        <v>55</v>
      </c>
      <c r="E18" s="33" t="s">
        <v>56</v>
      </c>
      <c r="F18" s="33" t="s">
        <v>57</v>
      </c>
      <c r="G18" s="33" t="s">
        <v>58</v>
      </c>
      <c r="H18" s="33" t="s">
        <v>32</v>
      </c>
      <c r="I18" s="34" t="s">
        <v>33</v>
      </c>
      <c r="J18" s="35" t="s">
        <v>34</v>
      </c>
      <c r="K18" s="35" t="s">
        <v>35</v>
      </c>
      <c r="L18" s="35" t="s">
        <v>36</v>
      </c>
      <c r="M18" s="35" t="s">
        <v>37</v>
      </c>
      <c r="N18" s="35" t="s">
        <v>38</v>
      </c>
      <c r="O18" s="33" t="s">
        <v>39</v>
      </c>
      <c r="P18" s="33" t="s">
        <v>40</v>
      </c>
      <c r="Q18" s="33" t="s">
        <v>59</v>
      </c>
      <c r="R18" s="36"/>
      <c r="S18" s="36"/>
      <c r="T18" s="36"/>
      <c r="U18" s="36"/>
      <c r="V18" s="36"/>
      <c r="W18" s="36"/>
      <c r="X18" s="36"/>
      <c r="Y18" s="36"/>
      <c r="Z18" s="36"/>
    </row>
    <row r="19" ht="12.75" customHeight="1">
      <c r="A19" s="38" t="s">
        <v>60</v>
      </c>
      <c r="B19" s="38" t="s">
        <v>60</v>
      </c>
      <c r="C19" s="38" t="s">
        <v>60</v>
      </c>
      <c r="D19" s="38">
        <v>80.0</v>
      </c>
      <c r="E19" s="38">
        <v>0.0</v>
      </c>
      <c r="F19" s="38">
        <v>0.0</v>
      </c>
      <c r="G19" s="38">
        <v>0.0</v>
      </c>
      <c r="H19" s="38">
        <v>0.0</v>
      </c>
      <c r="I19" s="38">
        <f t="shared" ref="I19:I22" si="8">(F19*H19)+(G19*H19)</f>
        <v>0</v>
      </c>
      <c r="J19" s="38">
        <f t="shared" ref="J19:J22" si="9">F19*H19</f>
        <v>0</v>
      </c>
      <c r="K19" s="38">
        <v>0.0</v>
      </c>
      <c r="L19" s="38">
        <f t="shared" ref="L19:L22" si="10">G19*H19</f>
        <v>0</v>
      </c>
      <c r="M19" s="38">
        <v>0.0</v>
      </c>
      <c r="N19" s="38">
        <v>0.0</v>
      </c>
      <c r="O19" s="38">
        <f t="shared" ref="O19:O22" si="11">SUM(J19:N19)</f>
        <v>0</v>
      </c>
      <c r="P19" s="25" t="str">
        <f t="shared" ref="P19:P23" si="12">IF(I19=O19,"Validado","Error")</f>
        <v>Validado</v>
      </c>
      <c r="Q19" s="25">
        <v>0.0</v>
      </c>
      <c r="R19" s="25"/>
      <c r="S19" s="25"/>
      <c r="T19" s="25"/>
      <c r="U19" s="25"/>
      <c r="V19" s="25"/>
      <c r="W19" s="25"/>
      <c r="X19" s="25"/>
      <c r="Y19" s="25"/>
      <c r="Z19" s="25"/>
    </row>
    <row r="20" ht="12.75" customHeight="1">
      <c r="A20" s="38" t="s">
        <v>60</v>
      </c>
      <c r="B20" s="38" t="s">
        <v>60</v>
      </c>
      <c r="C20" s="38" t="s">
        <v>60</v>
      </c>
      <c r="D20" s="38">
        <v>80.0</v>
      </c>
      <c r="E20" s="38">
        <v>0.0</v>
      </c>
      <c r="F20" s="38">
        <v>0.0</v>
      </c>
      <c r="G20" s="38">
        <v>0.0</v>
      </c>
      <c r="H20" s="38">
        <v>0.0</v>
      </c>
      <c r="I20" s="38">
        <f t="shared" si="8"/>
        <v>0</v>
      </c>
      <c r="J20" s="38">
        <f t="shared" si="9"/>
        <v>0</v>
      </c>
      <c r="K20" s="38">
        <v>0.0</v>
      </c>
      <c r="L20" s="38">
        <f t="shared" si="10"/>
        <v>0</v>
      </c>
      <c r="M20" s="38">
        <v>0.0</v>
      </c>
      <c r="N20" s="38">
        <v>0.0</v>
      </c>
      <c r="O20" s="38">
        <f t="shared" si="11"/>
        <v>0</v>
      </c>
      <c r="P20" s="25" t="str">
        <f t="shared" si="12"/>
        <v>Validado</v>
      </c>
      <c r="Q20" s="25">
        <v>0.0</v>
      </c>
      <c r="R20" s="25"/>
      <c r="S20" s="25"/>
      <c r="T20" s="25"/>
      <c r="U20" s="25"/>
      <c r="V20" s="25"/>
      <c r="W20" s="25"/>
      <c r="X20" s="25"/>
      <c r="Y20" s="25"/>
      <c r="Z20" s="25"/>
    </row>
    <row r="21" ht="12.75" customHeight="1">
      <c r="A21" s="38" t="s">
        <v>60</v>
      </c>
      <c r="B21" s="38" t="s">
        <v>60</v>
      </c>
      <c r="C21" s="38" t="s">
        <v>60</v>
      </c>
      <c r="D21" s="38">
        <v>80.0</v>
      </c>
      <c r="E21" s="38">
        <v>0.0</v>
      </c>
      <c r="F21" s="38">
        <v>0.0</v>
      </c>
      <c r="G21" s="38">
        <v>0.0</v>
      </c>
      <c r="H21" s="38">
        <v>0.0</v>
      </c>
      <c r="I21" s="38">
        <f t="shared" si="8"/>
        <v>0</v>
      </c>
      <c r="J21" s="38">
        <f t="shared" si="9"/>
        <v>0</v>
      </c>
      <c r="K21" s="38">
        <v>0.0</v>
      </c>
      <c r="L21" s="38">
        <f t="shared" si="10"/>
        <v>0</v>
      </c>
      <c r="M21" s="38">
        <v>0.0</v>
      </c>
      <c r="N21" s="38">
        <v>0.0</v>
      </c>
      <c r="O21" s="38">
        <f t="shared" si="11"/>
        <v>0</v>
      </c>
      <c r="P21" s="25" t="str">
        <f t="shared" si="12"/>
        <v>Validado</v>
      </c>
      <c r="Q21" s="25">
        <v>0.0</v>
      </c>
      <c r="R21" s="25"/>
      <c r="S21" s="25"/>
      <c r="T21" s="25"/>
      <c r="U21" s="25"/>
      <c r="V21" s="25"/>
      <c r="W21" s="25"/>
      <c r="X21" s="25"/>
      <c r="Y21" s="25"/>
      <c r="Z21" s="25"/>
    </row>
    <row r="22" ht="12.75" customHeight="1">
      <c r="A22" s="38" t="s">
        <v>60</v>
      </c>
      <c r="B22" s="38" t="s">
        <v>60</v>
      </c>
      <c r="C22" s="38" t="s">
        <v>60</v>
      </c>
      <c r="D22" s="38">
        <v>80.0</v>
      </c>
      <c r="E22" s="38">
        <v>0.0</v>
      </c>
      <c r="F22" s="38">
        <v>0.0</v>
      </c>
      <c r="G22" s="38">
        <v>0.0</v>
      </c>
      <c r="H22" s="38">
        <v>0.0</v>
      </c>
      <c r="I22" s="38">
        <f t="shared" si="8"/>
        <v>0</v>
      </c>
      <c r="J22" s="38">
        <f t="shared" si="9"/>
        <v>0</v>
      </c>
      <c r="K22" s="38">
        <v>0.0</v>
      </c>
      <c r="L22" s="38">
        <f t="shared" si="10"/>
        <v>0</v>
      </c>
      <c r="M22" s="38">
        <v>0.0</v>
      </c>
      <c r="N22" s="38">
        <v>0.0</v>
      </c>
      <c r="O22" s="38">
        <f t="shared" si="11"/>
        <v>0</v>
      </c>
      <c r="P22" s="25" t="str">
        <f t="shared" si="12"/>
        <v>Validado</v>
      </c>
      <c r="Q22" s="25">
        <v>0.0</v>
      </c>
      <c r="R22" s="25"/>
      <c r="S22" s="25"/>
      <c r="T22" s="25"/>
      <c r="U22" s="25"/>
      <c r="V22" s="25"/>
      <c r="W22" s="25"/>
      <c r="X22" s="25"/>
      <c r="Y22" s="25"/>
      <c r="Z22" s="25"/>
    </row>
    <row r="23" ht="12.75" customHeight="1">
      <c r="A23" s="25"/>
      <c r="B23" s="25"/>
      <c r="C23" s="25"/>
      <c r="D23" s="25"/>
      <c r="E23" s="25"/>
      <c r="F23" s="25"/>
      <c r="G23" s="25"/>
      <c r="H23" s="25"/>
      <c r="I23" s="38">
        <f t="shared" ref="I23:O23" si="13">SUM(I19:I22)</f>
        <v>0</v>
      </c>
      <c r="J23" s="38">
        <f t="shared" si="13"/>
        <v>0</v>
      </c>
      <c r="K23" s="38">
        <f t="shared" si="13"/>
        <v>0</v>
      </c>
      <c r="L23" s="38">
        <f t="shared" si="13"/>
        <v>0</v>
      </c>
      <c r="M23" s="38">
        <f t="shared" si="13"/>
        <v>0</v>
      </c>
      <c r="N23" s="38">
        <f t="shared" si="13"/>
        <v>0</v>
      </c>
      <c r="O23" s="38">
        <f t="shared" si="13"/>
        <v>0</v>
      </c>
      <c r="P23" s="25" t="str">
        <f t="shared" si="12"/>
        <v>Validado</v>
      </c>
      <c r="Q23" s="25"/>
      <c r="R23" s="25"/>
      <c r="S23" s="25"/>
      <c r="T23" s="25"/>
      <c r="U23" s="25"/>
      <c r="V23" s="25"/>
      <c r="W23" s="25"/>
      <c r="X23" s="25"/>
      <c r="Y23" s="25"/>
      <c r="Z23" s="25"/>
    </row>
    <row r="24" ht="12.75" customHeight="1">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ht="12.75" customHeight="1">
      <c r="A25" s="27" t="s">
        <v>61</v>
      </c>
      <c r="B25" s="28"/>
      <c r="C25" s="28"/>
      <c r="D25" s="28"/>
      <c r="E25" s="28"/>
      <c r="F25" s="29"/>
      <c r="G25" s="25"/>
      <c r="H25" s="25"/>
      <c r="I25" s="25"/>
      <c r="J25" s="25"/>
      <c r="K25" s="25"/>
      <c r="L25" s="25"/>
      <c r="M25" s="25"/>
      <c r="N25" s="25"/>
      <c r="O25" s="25"/>
      <c r="P25" s="25"/>
      <c r="Q25" s="25"/>
      <c r="R25" s="25"/>
      <c r="S25" s="25"/>
      <c r="T25" s="25"/>
      <c r="U25" s="25"/>
      <c r="V25" s="25"/>
      <c r="W25" s="25"/>
      <c r="X25" s="25"/>
      <c r="Y25" s="25"/>
      <c r="Z25" s="25"/>
    </row>
    <row r="26" ht="12.75" customHeight="1">
      <c r="A26" s="25"/>
      <c r="B26" s="25"/>
      <c r="C26" s="25"/>
      <c r="D26" s="25"/>
      <c r="E26" s="25"/>
      <c r="F26" s="25"/>
      <c r="G26" s="25"/>
      <c r="H26" s="25"/>
      <c r="I26" s="30" t="s">
        <v>62</v>
      </c>
      <c r="J26" s="31"/>
      <c r="K26" s="31"/>
      <c r="L26" s="31"/>
      <c r="M26" s="32"/>
      <c r="N26" s="25"/>
      <c r="O26" s="25"/>
      <c r="P26" s="25"/>
      <c r="Q26" s="25"/>
      <c r="R26" s="25"/>
      <c r="S26" s="25"/>
      <c r="T26" s="25"/>
      <c r="U26" s="25"/>
      <c r="V26" s="25"/>
      <c r="W26" s="25"/>
      <c r="X26" s="25"/>
      <c r="Y26" s="25"/>
      <c r="Z26" s="25"/>
    </row>
    <row r="27" ht="12.75" customHeight="1">
      <c r="A27" s="33" t="s">
        <v>27</v>
      </c>
      <c r="B27" s="33" t="s">
        <v>28</v>
      </c>
      <c r="C27" s="33" t="s">
        <v>29</v>
      </c>
      <c r="D27" s="33" t="s">
        <v>63</v>
      </c>
      <c r="E27" s="33" t="s">
        <v>57</v>
      </c>
      <c r="F27" s="33" t="s">
        <v>58</v>
      </c>
      <c r="G27" s="33" t="s">
        <v>32</v>
      </c>
      <c r="H27" s="34" t="s">
        <v>33</v>
      </c>
      <c r="I27" s="35" t="s">
        <v>34</v>
      </c>
      <c r="J27" s="35" t="s">
        <v>35</v>
      </c>
      <c r="K27" s="35" t="s">
        <v>36</v>
      </c>
      <c r="L27" s="35" t="s">
        <v>37</v>
      </c>
      <c r="M27" s="35" t="s">
        <v>38</v>
      </c>
      <c r="N27" s="33" t="s">
        <v>39</v>
      </c>
      <c r="O27" s="33" t="s">
        <v>40</v>
      </c>
      <c r="P27" s="36"/>
      <c r="Q27" s="36"/>
      <c r="R27" s="36"/>
      <c r="S27" s="36"/>
      <c r="T27" s="36"/>
      <c r="U27" s="36"/>
      <c r="V27" s="36"/>
      <c r="W27" s="36"/>
      <c r="X27" s="36"/>
      <c r="Y27" s="36"/>
      <c r="Z27" s="36"/>
    </row>
    <row r="28" ht="12.75" customHeight="1">
      <c r="A28" s="37" t="s">
        <v>8</v>
      </c>
      <c r="B28" s="37" t="s">
        <v>64</v>
      </c>
      <c r="C28" s="37" t="s">
        <v>10</v>
      </c>
      <c r="D28" s="38">
        <v>36.0</v>
      </c>
      <c r="E28" s="37">
        <v>500000.0</v>
      </c>
      <c r="F28" s="37">
        <v>600000.0</v>
      </c>
      <c r="G28" s="37">
        <v>24.0</v>
      </c>
      <c r="H28" s="38">
        <f t="shared" ref="H28:H31" si="14">(E28+F28)*G28</f>
        <v>26400000</v>
      </c>
      <c r="I28" s="38">
        <f t="shared" ref="I28:I31" si="15">E28*G28</f>
        <v>12000000</v>
      </c>
      <c r="J28" s="38">
        <v>0.0</v>
      </c>
      <c r="K28" s="38">
        <f t="shared" ref="K28:K31" si="16">F28*G28</f>
        <v>14400000</v>
      </c>
      <c r="L28" s="38">
        <v>0.0</v>
      </c>
      <c r="M28" s="38">
        <v>0.0</v>
      </c>
      <c r="N28" s="38">
        <f t="shared" ref="N28:N31" si="17">SUM(I28:M28)</f>
        <v>26400000</v>
      </c>
      <c r="O28" s="25" t="str">
        <f t="shared" ref="O28:O32" si="18">IF(H28=N28,"Validado","Error")</f>
        <v>Validado</v>
      </c>
      <c r="P28" s="25"/>
      <c r="Q28" s="36"/>
      <c r="R28" s="25"/>
      <c r="S28" s="25"/>
      <c r="T28" s="25"/>
      <c r="U28" s="25"/>
      <c r="V28" s="25"/>
      <c r="W28" s="25"/>
      <c r="X28" s="25"/>
      <c r="Y28" s="25"/>
      <c r="Z28" s="25"/>
    </row>
    <row r="29" ht="12.75" customHeight="1">
      <c r="A29" s="37" t="s">
        <v>65</v>
      </c>
      <c r="B29" s="37" t="s">
        <v>66</v>
      </c>
      <c r="C29" s="37" t="s">
        <v>10</v>
      </c>
      <c r="D29" s="38">
        <v>36.0</v>
      </c>
      <c r="E29" s="37">
        <v>250000.0</v>
      </c>
      <c r="F29" s="37">
        <v>600000.0</v>
      </c>
      <c r="G29" s="37">
        <v>24.0</v>
      </c>
      <c r="H29" s="38">
        <f t="shared" si="14"/>
        <v>20400000</v>
      </c>
      <c r="I29" s="38">
        <f t="shared" si="15"/>
        <v>6000000</v>
      </c>
      <c r="J29" s="38">
        <v>0.0</v>
      </c>
      <c r="K29" s="38">
        <f t="shared" si="16"/>
        <v>14400000</v>
      </c>
      <c r="L29" s="38">
        <v>0.0</v>
      </c>
      <c r="M29" s="38">
        <v>0.0</v>
      </c>
      <c r="N29" s="38">
        <f t="shared" si="17"/>
        <v>20400000</v>
      </c>
      <c r="O29" s="25" t="str">
        <f t="shared" si="18"/>
        <v>Validado</v>
      </c>
      <c r="P29" s="25"/>
      <c r="Q29" s="36"/>
      <c r="R29" s="25"/>
      <c r="S29" s="25"/>
      <c r="T29" s="25"/>
      <c r="U29" s="25"/>
      <c r="V29" s="25"/>
      <c r="W29" s="25"/>
      <c r="X29" s="25"/>
      <c r="Y29" s="25"/>
      <c r="Z29" s="25"/>
    </row>
    <row r="30" ht="12.75" customHeight="1">
      <c r="A30" s="37" t="s">
        <v>67</v>
      </c>
      <c r="B30" s="37" t="s">
        <v>68</v>
      </c>
      <c r="C30" s="37" t="s">
        <v>10</v>
      </c>
      <c r="D30" s="38">
        <v>36.0</v>
      </c>
      <c r="E30" s="37">
        <v>500000.0</v>
      </c>
      <c r="F30" s="37">
        <v>600000.0</v>
      </c>
      <c r="G30" s="37">
        <v>24.0</v>
      </c>
      <c r="H30" s="38">
        <f t="shared" si="14"/>
        <v>26400000</v>
      </c>
      <c r="I30" s="38">
        <f t="shared" si="15"/>
        <v>12000000</v>
      </c>
      <c r="J30" s="38">
        <v>0.0</v>
      </c>
      <c r="K30" s="38">
        <f t="shared" si="16"/>
        <v>14400000</v>
      </c>
      <c r="L30" s="38">
        <v>0.0</v>
      </c>
      <c r="M30" s="38">
        <v>0.0</v>
      </c>
      <c r="N30" s="38">
        <f t="shared" si="17"/>
        <v>26400000</v>
      </c>
      <c r="O30" s="25" t="str">
        <f t="shared" si="18"/>
        <v>Validado</v>
      </c>
      <c r="P30" s="25"/>
      <c r="Q30" s="36"/>
      <c r="R30" s="25"/>
      <c r="S30" s="25"/>
      <c r="T30" s="25"/>
      <c r="U30" s="25"/>
      <c r="V30" s="25"/>
      <c r="W30" s="25"/>
      <c r="X30" s="25"/>
      <c r="Y30" s="25"/>
      <c r="Z30" s="25"/>
    </row>
    <row r="31" ht="12.75" customHeight="1">
      <c r="A31" s="38" t="s">
        <v>60</v>
      </c>
      <c r="B31" s="38" t="s">
        <v>60</v>
      </c>
      <c r="C31" s="38" t="s">
        <v>60</v>
      </c>
      <c r="D31" s="38">
        <v>36.0</v>
      </c>
      <c r="E31" s="38">
        <v>0.0</v>
      </c>
      <c r="F31" s="38">
        <v>0.0</v>
      </c>
      <c r="G31" s="38">
        <v>0.0</v>
      </c>
      <c r="H31" s="38">
        <f t="shared" si="14"/>
        <v>0</v>
      </c>
      <c r="I31" s="38">
        <f t="shared" si="15"/>
        <v>0</v>
      </c>
      <c r="J31" s="38">
        <v>0.0</v>
      </c>
      <c r="K31" s="38">
        <f t="shared" si="16"/>
        <v>0</v>
      </c>
      <c r="L31" s="38">
        <v>0.0</v>
      </c>
      <c r="M31" s="38">
        <v>0.0</v>
      </c>
      <c r="N31" s="38">
        <f t="shared" si="17"/>
        <v>0</v>
      </c>
      <c r="O31" s="25" t="str">
        <f t="shared" si="18"/>
        <v>Validado</v>
      </c>
      <c r="P31" s="25"/>
      <c r="Q31" s="36"/>
      <c r="R31" s="25"/>
      <c r="S31" s="25"/>
      <c r="T31" s="25"/>
      <c r="U31" s="25"/>
      <c r="V31" s="25"/>
      <c r="W31" s="25"/>
      <c r="X31" s="25"/>
      <c r="Y31" s="25"/>
      <c r="Z31" s="25"/>
    </row>
    <row r="32" ht="12.75" customHeight="1">
      <c r="A32" s="25"/>
      <c r="B32" s="25"/>
      <c r="C32" s="25"/>
      <c r="D32" s="25"/>
      <c r="E32" s="25"/>
      <c r="F32" s="25"/>
      <c r="G32" s="25"/>
      <c r="H32" s="38">
        <f t="shared" ref="H32:N32" si="19">SUM(H28:H31)</f>
        <v>73200000</v>
      </c>
      <c r="I32" s="38">
        <f t="shared" si="19"/>
        <v>30000000</v>
      </c>
      <c r="J32" s="38">
        <f t="shared" si="19"/>
        <v>0</v>
      </c>
      <c r="K32" s="38">
        <f t="shared" si="19"/>
        <v>43200000</v>
      </c>
      <c r="L32" s="38">
        <f t="shared" si="19"/>
        <v>0</v>
      </c>
      <c r="M32" s="38">
        <f t="shared" si="19"/>
        <v>0</v>
      </c>
      <c r="N32" s="38">
        <f t="shared" si="19"/>
        <v>73200000</v>
      </c>
      <c r="O32" s="25" t="str">
        <f t="shared" si="18"/>
        <v>Validado</v>
      </c>
      <c r="P32" s="25"/>
      <c r="Q32" s="36"/>
      <c r="R32" s="25"/>
      <c r="S32" s="25"/>
      <c r="T32" s="25"/>
      <c r="U32" s="25"/>
      <c r="V32" s="25"/>
      <c r="W32" s="25"/>
      <c r="X32" s="25"/>
      <c r="Y32" s="25"/>
      <c r="Z32" s="25"/>
    </row>
    <row r="33" ht="12.75" customHeight="1">
      <c r="A33" s="25"/>
      <c r="B33" s="25"/>
      <c r="C33" s="25"/>
      <c r="D33" s="25"/>
      <c r="E33" s="25"/>
      <c r="F33" s="25"/>
      <c r="G33" s="25"/>
      <c r="H33" s="25"/>
      <c r="I33" s="25"/>
      <c r="J33" s="25"/>
      <c r="K33" s="25"/>
      <c r="L33" s="25"/>
      <c r="M33" s="25"/>
      <c r="N33" s="25"/>
      <c r="O33" s="25"/>
      <c r="P33" s="25"/>
      <c r="Q33" s="36"/>
      <c r="R33" s="25"/>
      <c r="S33" s="25"/>
      <c r="T33" s="25"/>
      <c r="U33" s="25"/>
      <c r="V33" s="25"/>
      <c r="W33" s="25"/>
      <c r="X33" s="25"/>
      <c r="Y33" s="25"/>
      <c r="Z33" s="25"/>
    </row>
    <row r="34" ht="12.75" customHeight="1">
      <c r="A34" s="27" t="s">
        <v>69</v>
      </c>
      <c r="B34" s="28"/>
      <c r="C34" s="28"/>
      <c r="D34" s="28"/>
      <c r="E34" s="28"/>
      <c r="F34" s="29"/>
      <c r="G34" s="25"/>
      <c r="H34" s="25"/>
      <c r="I34" s="25"/>
      <c r="J34" s="25"/>
      <c r="K34" s="25"/>
      <c r="L34" s="25"/>
      <c r="M34" s="25"/>
      <c r="N34" s="25"/>
      <c r="O34" s="25"/>
      <c r="P34" s="25"/>
      <c r="Q34" s="25"/>
      <c r="R34" s="25"/>
      <c r="S34" s="25"/>
      <c r="T34" s="25"/>
      <c r="U34" s="25"/>
      <c r="V34" s="25"/>
      <c r="W34" s="25"/>
      <c r="X34" s="25"/>
      <c r="Y34" s="25"/>
      <c r="Z34" s="25"/>
    </row>
    <row r="35" ht="12.75" customHeight="1">
      <c r="A35" s="25"/>
      <c r="B35" s="25"/>
      <c r="C35" s="25"/>
      <c r="D35" s="25"/>
      <c r="E35" s="25"/>
      <c r="F35" s="25"/>
      <c r="G35" s="25"/>
      <c r="H35" s="25"/>
      <c r="I35" s="30" t="s">
        <v>70</v>
      </c>
      <c r="J35" s="31"/>
      <c r="K35" s="31"/>
      <c r="L35" s="31"/>
      <c r="M35" s="32"/>
      <c r="N35" s="25"/>
      <c r="O35" s="25"/>
      <c r="P35" s="25"/>
      <c r="Q35" s="25"/>
      <c r="R35" s="25"/>
      <c r="S35" s="25"/>
      <c r="T35" s="25"/>
      <c r="U35" s="25"/>
      <c r="V35" s="25"/>
      <c r="W35" s="25"/>
      <c r="X35" s="25"/>
      <c r="Y35" s="25"/>
      <c r="Z35" s="25"/>
    </row>
    <row r="36" ht="12.75" customHeight="1">
      <c r="A36" s="33" t="s">
        <v>27</v>
      </c>
      <c r="B36" s="33" t="s">
        <v>28</v>
      </c>
      <c r="C36" s="33" t="s">
        <v>29</v>
      </c>
      <c r="D36" s="33" t="s">
        <v>30</v>
      </c>
      <c r="E36" s="33" t="s">
        <v>56</v>
      </c>
      <c r="F36" s="33" t="s">
        <v>31</v>
      </c>
      <c r="G36" s="33" t="s">
        <v>32</v>
      </c>
      <c r="H36" s="34" t="s">
        <v>33</v>
      </c>
      <c r="I36" s="35" t="s">
        <v>34</v>
      </c>
      <c r="J36" s="35" t="s">
        <v>35</v>
      </c>
      <c r="K36" s="35" t="s">
        <v>36</v>
      </c>
      <c r="L36" s="35" t="s">
        <v>37</v>
      </c>
      <c r="M36" s="35" t="s">
        <v>38</v>
      </c>
      <c r="N36" s="33" t="s">
        <v>39</v>
      </c>
      <c r="O36" s="33" t="s">
        <v>40</v>
      </c>
      <c r="P36" s="36"/>
      <c r="Q36" s="36"/>
      <c r="R36" s="36"/>
      <c r="S36" s="36"/>
      <c r="T36" s="36"/>
      <c r="U36" s="36"/>
      <c r="V36" s="36"/>
      <c r="W36" s="36"/>
      <c r="X36" s="36"/>
      <c r="Y36" s="36"/>
      <c r="Z36" s="36"/>
    </row>
    <row r="37" ht="12.75" customHeight="1">
      <c r="A37" s="37" t="s">
        <v>71</v>
      </c>
      <c r="B37" s="37" t="s">
        <v>72</v>
      </c>
      <c r="C37" s="37" t="s">
        <v>14</v>
      </c>
      <c r="D37" s="37">
        <v>44.0</v>
      </c>
      <c r="E37" s="37">
        <v>16139.337037037</v>
      </c>
      <c r="F37" s="38">
        <f t="shared" ref="F37:F40" si="20">D37*E37</f>
        <v>710130.8296</v>
      </c>
      <c r="G37" s="37">
        <v>24.0</v>
      </c>
      <c r="H37" s="38">
        <f t="shared" ref="H37:H40" si="21">F37*G37</f>
        <v>17043139.91</v>
      </c>
      <c r="I37" s="39" t="s">
        <v>12</v>
      </c>
      <c r="J37" s="40">
        <v>0.0</v>
      </c>
      <c r="K37" s="40">
        <v>0.0</v>
      </c>
      <c r="L37" s="38">
        <v>0.0</v>
      </c>
      <c r="M37" s="38">
        <f t="shared" ref="M37:M40" si="22">H37</f>
        <v>17043139.91</v>
      </c>
      <c r="N37" s="38">
        <f t="shared" ref="N37:N40" si="23">SUM(I37:M37)</f>
        <v>17043139.91</v>
      </c>
      <c r="O37" s="25" t="str">
        <f t="shared" ref="O37:O41" si="24">IF(H37=N37,"Validado","Error")</f>
        <v>Validado</v>
      </c>
      <c r="P37" s="25"/>
      <c r="Q37" s="25"/>
      <c r="R37" s="25"/>
      <c r="S37" s="25"/>
      <c r="T37" s="25"/>
      <c r="U37" s="25"/>
      <c r="V37" s="25"/>
      <c r="W37" s="25"/>
      <c r="X37" s="25"/>
      <c r="Y37" s="25"/>
      <c r="Z37" s="25"/>
    </row>
    <row r="38" ht="12.75" customHeight="1">
      <c r="A38" s="37" t="s">
        <v>73</v>
      </c>
      <c r="B38" s="37" t="s">
        <v>74</v>
      </c>
      <c r="C38" s="37" t="s">
        <v>14</v>
      </c>
      <c r="D38" s="37">
        <v>60.0</v>
      </c>
      <c r="E38" s="37">
        <v>9965.05185185185</v>
      </c>
      <c r="F38" s="38">
        <f t="shared" si="20"/>
        <v>597903.1111</v>
      </c>
      <c r="G38" s="37">
        <v>24.0</v>
      </c>
      <c r="H38" s="38">
        <f t="shared" si="21"/>
        <v>14349674.67</v>
      </c>
      <c r="I38" s="39" t="s">
        <v>12</v>
      </c>
      <c r="J38" s="40">
        <v>0.0</v>
      </c>
      <c r="K38" s="40">
        <v>0.0</v>
      </c>
      <c r="L38" s="38">
        <v>0.0</v>
      </c>
      <c r="M38" s="38">
        <f t="shared" si="22"/>
        <v>14349674.67</v>
      </c>
      <c r="N38" s="38">
        <f t="shared" si="23"/>
        <v>14349674.67</v>
      </c>
      <c r="O38" s="25" t="str">
        <f t="shared" si="24"/>
        <v>Validado</v>
      </c>
      <c r="P38" s="25"/>
      <c r="Q38" s="25"/>
      <c r="R38" s="25"/>
      <c r="S38" s="25"/>
      <c r="T38" s="25"/>
      <c r="U38" s="25"/>
      <c r="V38" s="25"/>
      <c r="W38" s="25"/>
      <c r="X38" s="25"/>
      <c r="Y38" s="25"/>
      <c r="Z38" s="25"/>
    </row>
    <row r="39" ht="12.75" customHeight="1">
      <c r="A39" s="37" t="s">
        <v>75</v>
      </c>
      <c r="B39" s="37" t="s">
        <v>76</v>
      </c>
      <c r="C39" s="37" t="s">
        <v>14</v>
      </c>
      <c r="D39" s="37">
        <v>60.0</v>
      </c>
      <c r="E39" s="37">
        <v>7364.81481481481</v>
      </c>
      <c r="F39" s="38">
        <f t="shared" si="20"/>
        <v>441888.8889</v>
      </c>
      <c r="G39" s="37">
        <v>24.0</v>
      </c>
      <c r="H39" s="38">
        <f t="shared" si="21"/>
        <v>10605333.33</v>
      </c>
      <c r="I39" s="39" t="s">
        <v>12</v>
      </c>
      <c r="J39" s="40">
        <v>0.0</v>
      </c>
      <c r="K39" s="40">
        <v>0.0</v>
      </c>
      <c r="L39" s="38">
        <v>0.0</v>
      </c>
      <c r="M39" s="38">
        <f t="shared" si="22"/>
        <v>10605333.33</v>
      </c>
      <c r="N39" s="38">
        <f t="shared" si="23"/>
        <v>10605333.33</v>
      </c>
      <c r="O39" s="25" t="str">
        <f t="shared" si="24"/>
        <v>Validado</v>
      </c>
      <c r="P39" s="25"/>
      <c r="Q39" s="25"/>
      <c r="R39" s="25"/>
      <c r="S39" s="25"/>
      <c r="T39" s="25"/>
      <c r="U39" s="25"/>
      <c r="V39" s="25"/>
      <c r="W39" s="25"/>
      <c r="X39" s="25"/>
      <c r="Y39" s="25"/>
      <c r="Z39" s="25"/>
    </row>
    <row r="40" ht="12.75" customHeight="1">
      <c r="A40" s="37" t="s">
        <v>77</v>
      </c>
      <c r="B40" s="37" t="s">
        <v>78</v>
      </c>
      <c r="C40" s="37" t="s">
        <v>14</v>
      </c>
      <c r="D40" s="37">
        <v>15.0</v>
      </c>
      <c r="E40" s="37">
        <v>15034.6851851852</v>
      </c>
      <c r="F40" s="38">
        <f t="shared" si="20"/>
        <v>225520.2778</v>
      </c>
      <c r="G40" s="37">
        <v>24.0</v>
      </c>
      <c r="H40" s="38">
        <f t="shared" si="21"/>
        <v>5412486.667</v>
      </c>
      <c r="I40" s="39" t="s">
        <v>12</v>
      </c>
      <c r="J40" s="40">
        <v>0.0</v>
      </c>
      <c r="K40" s="40">
        <v>0.0</v>
      </c>
      <c r="L40" s="38">
        <v>0.0</v>
      </c>
      <c r="M40" s="38">
        <f t="shared" si="22"/>
        <v>5412486.667</v>
      </c>
      <c r="N40" s="38">
        <f t="shared" si="23"/>
        <v>5412486.667</v>
      </c>
      <c r="O40" s="25" t="str">
        <f t="shared" si="24"/>
        <v>Validado</v>
      </c>
      <c r="P40" s="25"/>
      <c r="Q40" s="25"/>
      <c r="R40" s="25"/>
      <c r="S40" s="25"/>
      <c r="T40" s="25"/>
      <c r="U40" s="25"/>
      <c r="V40" s="25"/>
      <c r="W40" s="25"/>
      <c r="X40" s="25"/>
      <c r="Y40" s="25"/>
      <c r="Z40" s="25"/>
    </row>
    <row r="41" ht="12.75" customHeight="1">
      <c r="A41" s="26"/>
      <c r="B41" s="25"/>
      <c r="C41" s="25"/>
      <c r="D41" s="25"/>
      <c r="E41" s="25"/>
      <c r="F41" s="25"/>
      <c r="G41" s="25"/>
      <c r="H41" s="38">
        <f>SUM(H37:H40)</f>
        <v>47410634.58</v>
      </c>
      <c r="I41" s="39">
        <v>0.0</v>
      </c>
      <c r="J41" s="40">
        <f t="shared" ref="J41:N41" si="25">SUM(J37:J40)</f>
        <v>0</v>
      </c>
      <c r="K41" s="40">
        <f t="shared" si="25"/>
        <v>0</v>
      </c>
      <c r="L41" s="38">
        <f t="shared" si="25"/>
        <v>0</v>
      </c>
      <c r="M41" s="38">
        <f t="shared" si="25"/>
        <v>47410634.58</v>
      </c>
      <c r="N41" s="38">
        <f t="shared" si="25"/>
        <v>47410634.58</v>
      </c>
      <c r="O41" s="25" t="str">
        <f t="shared" si="24"/>
        <v>Validado</v>
      </c>
      <c r="P41" s="25"/>
      <c r="Q41" s="25"/>
      <c r="R41" s="25"/>
      <c r="S41" s="25"/>
      <c r="T41" s="25"/>
      <c r="U41" s="25"/>
      <c r="V41" s="25"/>
      <c r="W41" s="25"/>
      <c r="X41" s="25"/>
      <c r="Y41" s="25"/>
      <c r="Z41" s="25"/>
    </row>
    <row r="42" ht="12.75" customHeight="1">
      <c r="A42" s="25"/>
      <c r="B42" s="25"/>
      <c r="C42" s="25"/>
      <c r="D42" s="25"/>
      <c r="E42" s="25"/>
      <c r="F42" s="25"/>
      <c r="G42" s="25"/>
      <c r="H42" s="25"/>
      <c r="I42" s="25"/>
      <c r="J42" s="25"/>
      <c r="K42" s="25"/>
      <c r="L42" s="25"/>
      <c r="M42" s="25"/>
      <c r="N42" s="25"/>
      <c r="O42" s="25"/>
      <c r="P42" s="25"/>
      <c r="Q42" s="36"/>
      <c r="R42" s="25"/>
      <c r="S42" s="25"/>
      <c r="T42" s="25"/>
      <c r="U42" s="25"/>
      <c r="V42" s="25"/>
      <c r="W42" s="25"/>
      <c r="X42" s="25"/>
      <c r="Y42" s="25"/>
      <c r="Z42" s="25"/>
    </row>
    <row r="43" ht="12.75" customHeight="1">
      <c r="A43" s="27" t="s">
        <v>79</v>
      </c>
      <c r="B43" s="28"/>
      <c r="C43" s="28"/>
      <c r="D43" s="28"/>
      <c r="E43" s="28"/>
      <c r="F43" s="29"/>
      <c r="G43" s="25"/>
      <c r="H43" s="25"/>
      <c r="I43" s="25"/>
      <c r="J43" s="25"/>
      <c r="K43" s="25"/>
      <c r="L43" s="25"/>
      <c r="M43" s="25"/>
      <c r="N43" s="25"/>
      <c r="O43" s="25"/>
      <c r="P43" s="25"/>
      <c r="Q43" s="25"/>
      <c r="R43" s="25"/>
      <c r="S43" s="25"/>
      <c r="T43" s="25"/>
      <c r="U43" s="25"/>
      <c r="V43" s="25"/>
      <c r="W43" s="25"/>
      <c r="X43" s="25"/>
      <c r="Y43" s="25"/>
      <c r="Z43" s="25"/>
    </row>
    <row r="44" ht="12.75" customHeight="1">
      <c r="A44" s="25"/>
      <c r="B44" s="25"/>
      <c r="C44" s="25"/>
      <c r="D44" s="25"/>
      <c r="E44" s="25"/>
      <c r="F44" s="25"/>
      <c r="G44" s="25"/>
      <c r="H44" s="25"/>
      <c r="I44" s="30" t="s">
        <v>80</v>
      </c>
      <c r="J44" s="31"/>
      <c r="K44" s="31"/>
      <c r="L44" s="31"/>
      <c r="M44" s="32"/>
      <c r="N44" s="25"/>
      <c r="O44" s="25"/>
      <c r="P44" s="25"/>
      <c r="Q44" s="25"/>
      <c r="R44" s="25"/>
      <c r="S44" s="25"/>
      <c r="T44" s="25"/>
      <c r="U44" s="25"/>
      <c r="V44" s="25"/>
      <c r="W44" s="25"/>
      <c r="X44" s="25"/>
      <c r="Y44" s="25"/>
      <c r="Z44" s="25"/>
    </row>
    <row r="45" ht="12.75" customHeight="1">
      <c r="A45" s="33" t="s">
        <v>27</v>
      </c>
      <c r="B45" s="33" t="s">
        <v>81</v>
      </c>
      <c r="C45" s="33" t="s">
        <v>82</v>
      </c>
      <c r="D45" s="33" t="s">
        <v>83</v>
      </c>
      <c r="E45" s="33" t="s">
        <v>84</v>
      </c>
      <c r="F45" s="33" t="s">
        <v>85</v>
      </c>
      <c r="G45" s="33" t="s">
        <v>86</v>
      </c>
      <c r="H45" s="34" t="s">
        <v>33</v>
      </c>
      <c r="I45" s="35" t="s">
        <v>34</v>
      </c>
      <c r="J45" s="35" t="s">
        <v>35</v>
      </c>
      <c r="K45" s="35" t="s">
        <v>36</v>
      </c>
      <c r="L45" s="35" t="s">
        <v>37</v>
      </c>
      <c r="M45" s="35" t="s">
        <v>38</v>
      </c>
      <c r="N45" s="33" t="s">
        <v>39</v>
      </c>
      <c r="O45" s="33" t="s">
        <v>40</v>
      </c>
      <c r="P45" s="36"/>
      <c r="Q45" s="36"/>
      <c r="R45" s="36"/>
      <c r="S45" s="36"/>
      <c r="T45" s="36"/>
      <c r="U45" s="36"/>
      <c r="V45" s="36"/>
      <c r="W45" s="36"/>
      <c r="X45" s="36"/>
      <c r="Y45" s="36"/>
      <c r="Z45" s="36"/>
    </row>
    <row r="46" ht="12.75" customHeight="1">
      <c r="A46" s="38" t="s">
        <v>60</v>
      </c>
      <c r="B46" s="38" t="s">
        <v>60</v>
      </c>
      <c r="C46" s="38" t="s">
        <v>60</v>
      </c>
      <c r="D46" s="38" t="s">
        <v>60</v>
      </c>
      <c r="E46" s="38">
        <v>0.0</v>
      </c>
      <c r="F46" s="38">
        <v>0.0</v>
      </c>
      <c r="G46" s="38">
        <v>0.0</v>
      </c>
      <c r="H46" s="38">
        <f t="shared" ref="H46:H49" si="26">E46*(F46+G46)</f>
        <v>0</v>
      </c>
      <c r="I46" s="38">
        <v>0.0</v>
      </c>
      <c r="J46" s="38">
        <v>0.0</v>
      </c>
      <c r="K46" s="38">
        <v>0.0</v>
      </c>
      <c r="L46" s="38">
        <v>0.0</v>
      </c>
      <c r="M46" s="38">
        <v>0.0</v>
      </c>
      <c r="N46" s="38">
        <f t="shared" ref="N46:N49" si="27">SUM(I46:M46)</f>
        <v>0</v>
      </c>
      <c r="O46" s="25" t="str">
        <f t="shared" ref="O46:O50" si="28">IF(H46=N46,"Validado","Error")</f>
        <v>Validado</v>
      </c>
      <c r="P46" s="25"/>
      <c r="Q46" s="25"/>
      <c r="R46" s="25"/>
      <c r="S46" s="25"/>
      <c r="T46" s="25"/>
      <c r="U46" s="25"/>
      <c r="V46" s="25"/>
      <c r="W46" s="25"/>
      <c r="X46" s="25"/>
      <c r="Y46" s="25"/>
      <c r="Z46" s="25"/>
    </row>
    <row r="47" ht="12.75" customHeight="1">
      <c r="A47" s="38" t="s">
        <v>60</v>
      </c>
      <c r="B47" s="38" t="s">
        <v>60</v>
      </c>
      <c r="C47" s="38" t="s">
        <v>60</v>
      </c>
      <c r="D47" s="38" t="s">
        <v>60</v>
      </c>
      <c r="E47" s="38">
        <v>0.0</v>
      </c>
      <c r="F47" s="38">
        <v>0.0</v>
      </c>
      <c r="G47" s="38">
        <v>0.0</v>
      </c>
      <c r="H47" s="38">
        <f t="shared" si="26"/>
        <v>0</v>
      </c>
      <c r="I47" s="38">
        <v>0.0</v>
      </c>
      <c r="J47" s="38">
        <v>0.0</v>
      </c>
      <c r="K47" s="38">
        <v>0.0</v>
      </c>
      <c r="L47" s="38">
        <v>0.0</v>
      </c>
      <c r="M47" s="38">
        <v>0.0</v>
      </c>
      <c r="N47" s="38">
        <f t="shared" si="27"/>
        <v>0</v>
      </c>
      <c r="O47" s="25" t="str">
        <f t="shared" si="28"/>
        <v>Validado</v>
      </c>
      <c r="P47" s="25"/>
      <c r="Q47" s="25"/>
      <c r="R47" s="25"/>
      <c r="S47" s="25"/>
      <c r="T47" s="25"/>
      <c r="U47" s="25"/>
      <c r="V47" s="25"/>
      <c r="W47" s="25"/>
      <c r="X47" s="25"/>
      <c r="Y47" s="25"/>
      <c r="Z47" s="25"/>
    </row>
    <row r="48" ht="12.75" customHeight="1">
      <c r="A48" s="38" t="s">
        <v>60</v>
      </c>
      <c r="B48" s="38" t="s">
        <v>60</v>
      </c>
      <c r="C48" s="38" t="s">
        <v>60</v>
      </c>
      <c r="D48" s="38" t="s">
        <v>60</v>
      </c>
      <c r="E48" s="38">
        <v>0.0</v>
      </c>
      <c r="F48" s="38">
        <v>0.0</v>
      </c>
      <c r="G48" s="38">
        <v>0.0</v>
      </c>
      <c r="H48" s="38">
        <f t="shared" si="26"/>
        <v>0</v>
      </c>
      <c r="I48" s="38">
        <v>0.0</v>
      </c>
      <c r="J48" s="38">
        <v>0.0</v>
      </c>
      <c r="K48" s="38">
        <v>0.0</v>
      </c>
      <c r="L48" s="38">
        <v>0.0</v>
      </c>
      <c r="M48" s="38">
        <v>0.0</v>
      </c>
      <c r="N48" s="38">
        <f t="shared" si="27"/>
        <v>0</v>
      </c>
      <c r="O48" s="25" t="str">
        <f t="shared" si="28"/>
        <v>Validado</v>
      </c>
      <c r="P48" s="25"/>
      <c r="Q48" s="25"/>
      <c r="R48" s="25"/>
      <c r="S48" s="25"/>
      <c r="T48" s="25"/>
      <c r="U48" s="25"/>
      <c r="V48" s="25"/>
      <c r="W48" s="25"/>
      <c r="X48" s="25"/>
      <c r="Y48" s="25"/>
      <c r="Z48" s="25"/>
    </row>
    <row r="49" ht="12.75" customHeight="1">
      <c r="A49" s="38" t="s">
        <v>60</v>
      </c>
      <c r="B49" s="38" t="s">
        <v>60</v>
      </c>
      <c r="C49" s="38" t="s">
        <v>60</v>
      </c>
      <c r="D49" s="38" t="s">
        <v>60</v>
      </c>
      <c r="E49" s="38">
        <v>0.0</v>
      </c>
      <c r="F49" s="38">
        <v>0.0</v>
      </c>
      <c r="G49" s="38">
        <v>0.0</v>
      </c>
      <c r="H49" s="38">
        <f t="shared" si="26"/>
        <v>0</v>
      </c>
      <c r="I49" s="38">
        <v>0.0</v>
      </c>
      <c r="J49" s="38">
        <v>0.0</v>
      </c>
      <c r="K49" s="38">
        <v>0.0</v>
      </c>
      <c r="L49" s="38">
        <v>0.0</v>
      </c>
      <c r="M49" s="38">
        <v>0.0</v>
      </c>
      <c r="N49" s="38">
        <f t="shared" si="27"/>
        <v>0</v>
      </c>
      <c r="O49" s="25" t="str">
        <f t="shared" si="28"/>
        <v>Validado</v>
      </c>
      <c r="P49" s="25"/>
      <c r="Q49" s="25"/>
      <c r="R49" s="25"/>
      <c r="S49" s="25"/>
      <c r="T49" s="25"/>
      <c r="U49" s="25"/>
      <c r="V49" s="25"/>
      <c r="W49" s="25"/>
      <c r="X49" s="25"/>
      <c r="Y49" s="25"/>
      <c r="Z49" s="25"/>
    </row>
    <row r="50" ht="12.75" customHeight="1">
      <c r="A50" s="25"/>
      <c r="B50" s="25"/>
      <c r="C50" s="25"/>
      <c r="D50" s="25"/>
      <c r="E50" s="25"/>
      <c r="F50" s="25"/>
      <c r="G50" s="25"/>
      <c r="H50" s="38">
        <f t="shared" ref="H50:N50" si="29">SUM(H46:H49)</f>
        <v>0</v>
      </c>
      <c r="I50" s="38">
        <f t="shared" si="29"/>
        <v>0</v>
      </c>
      <c r="J50" s="38">
        <f t="shared" si="29"/>
        <v>0</v>
      </c>
      <c r="K50" s="38">
        <f t="shared" si="29"/>
        <v>0</v>
      </c>
      <c r="L50" s="38">
        <f t="shared" si="29"/>
        <v>0</v>
      </c>
      <c r="M50" s="38">
        <f t="shared" si="29"/>
        <v>0</v>
      </c>
      <c r="N50" s="38">
        <f t="shared" si="29"/>
        <v>0</v>
      </c>
      <c r="O50" s="25" t="str">
        <f t="shared" si="28"/>
        <v>Validado</v>
      </c>
      <c r="P50" s="25"/>
      <c r="Q50" s="25"/>
      <c r="R50" s="25"/>
      <c r="S50" s="25"/>
      <c r="T50" s="25"/>
      <c r="U50" s="25"/>
      <c r="V50" s="25"/>
      <c r="W50" s="25"/>
      <c r="X50" s="25"/>
      <c r="Y50" s="25"/>
      <c r="Z50" s="25"/>
    </row>
    <row r="51" ht="12.7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2.75" customHeight="1">
      <c r="A52" s="27" t="s">
        <v>87</v>
      </c>
      <c r="B52" s="28"/>
      <c r="C52" s="28"/>
      <c r="D52" s="28"/>
      <c r="E52" s="28"/>
      <c r="F52" s="29"/>
      <c r="G52" s="25"/>
      <c r="H52" s="25"/>
      <c r="I52" s="25"/>
      <c r="J52" s="25"/>
      <c r="K52" s="25"/>
      <c r="L52" s="25"/>
      <c r="M52" s="25"/>
      <c r="N52" s="25"/>
      <c r="O52" s="25"/>
      <c r="P52" s="25"/>
      <c r="Q52" s="25"/>
      <c r="R52" s="25"/>
      <c r="S52" s="25"/>
      <c r="T52" s="25"/>
      <c r="U52" s="25"/>
      <c r="V52" s="25"/>
      <c r="W52" s="25"/>
      <c r="X52" s="25"/>
      <c r="Y52" s="25"/>
      <c r="Z52" s="25"/>
    </row>
    <row r="53" ht="12.75" customHeight="1">
      <c r="A53" s="25"/>
      <c r="B53" s="25"/>
      <c r="C53" s="25"/>
      <c r="D53" s="25"/>
      <c r="E53" s="25"/>
      <c r="F53" s="25"/>
      <c r="G53" s="25"/>
      <c r="H53" s="25"/>
      <c r="I53" s="30" t="s">
        <v>88</v>
      </c>
      <c r="J53" s="31"/>
      <c r="K53" s="31"/>
      <c r="L53" s="31"/>
      <c r="M53" s="32"/>
      <c r="N53" s="25"/>
      <c r="O53" s="25"/>
      <c r="P53" s="25"/>
      <c r="Q53" s="25"/>
      <c r="R53" s="25"/>
      <c r="S53" s="25"/>
      <c r="T53" s="25"/>
      <c r="U53" s="25"/>
      <c r="V53" s="25"/>
      <c r="W53" s="25"/>
      <c r="X53" s="25"/>
      <c r="Y53" s="25"/>
      <c r="Z53" s="25"/>
    </row>
    <row r="54" ht="12.75" customHeight="1">
      <c r="A54" s="33" t="s">
        <v>27</v>
      </c>
      <c r="B54" s="33" t="s">
        <v>81</v>
      </c>
      <c r="C54" s="33" t="s">
        <v>82</v>
      </c>
      <c r="D54" s="33" t="s">
        <v>83</v>
      </c>
      <c r="E54" s="33" t="s">
        <v>84</v>
      </c>
      <c r="F54" s="33" t="s">
        <v>89</v>
      </c>
      <c r="G54" s="33" t="s">
        <v>90</v>
      </c>
      <c r="H54" s="34" t="s">
        <v>33</v>
      </c>
      <c r="I54" s="35" t="s">
        <v>91</v>
      </c>
      <c r="J54" s="35" t="s">
        <v>35</v>
      </c>
      <c r="K54" s="35" t="s">
        <v>36</v>
      </c>
      <c r="L54" s="35" t="s">
        <v>37</v>
      </c>
      <c r="M54" s="35" t="s">
        <v>38</v>
      </c>
      <c r="N54" s="33" t="s">
        <v>39</v>
      </c>
      <c r="O54" s="33" t="s">
        <v>40</v>
      </c>
      <c r="P54" s="25"/>
      <c r="Q54" s="25"/>
      <c r="R54" s="25"/>
      <c r="S54" s="25"/>
      <c r="T54" s="25"/>
      <c r="U54" s="25"/>
      <c r="V54" s="25"/>
      <c r="W54" s="25"/>
      <c r="X54" s="25"/>
      <c r="Y54" s="25"/>
      <c r="Z54" s="25"/>
    </row>
    <row r="55" ht="12.75" customHeight="1">
      <c r="A55" s="37" t="s">
        <v>92</v>
      </c>
      <c r="B55" s="37" t="s">
        <v>10</v>
      </c>
      <c r="C55" s="41" t="s">
        <v>93</v>
      </c>
      <c r="D55" s="37" t="s">
        <v>94</v>
      </c>
      <c r="E55" s="37">
        <v>1.0</v>
      </c>
      <c r="F55" s="37">
        <v>1.728E7</v>
      </c>
      <c r="G55" s="38">
        <v>0.0</v>
      </c>
      <c r="H55" s="38">
        <f t="shared" ref="H55:H58" si="30">E55*(F55+G55)</f>
        <v>17280000</v>
      </c>
      <c r="I55" s="38">
        <v>0.0</v>
      </c>
      <c r="J55" s="38">
        <v>0.0</v>
      </c>
      <c r="K55" s="38">
        <f>H55</f>
        <v>17280000</v>
      </c>
      <c r="L55" s="38">
        <v>0.0</v>
      </c>
      <c r="M55" s="38">
        <v>0.0</v>
      </c>
      <c r="N55" s="38">
        <f t="shared" ref="N55:N58" si="31">SUM(I55:M55)</f>
        <v>17280000</v>
      </c>
      <c r="O55" s="25" t="str">
        <f t="shared" ref="O55:O59" si="32">IF(H55=N55,"Validado","Error")</f>
        <v>Validado</v>
      </c>
      <c r="P55" s="25"/>
      <c r="Q55" s="25"/>
      <c r="R55" s="25"/>
      <c r="S55" s="25"/>
      <c r="T55" s="25"/>
      <c r="U55" s="25"/>
      <c r="V55" s="25"/>
      <c r="W55" s="25"/>
      <c r="X55" s="25"/>
      <c r="Y55" s="25"/>
      <c r="Z55" s="25"/>
    </row>
    <row r="56" ht="12.75" customHeight="1">
      <c r="A56" s="38" t="s">
        <v>60</v>
      </c>
      <c r="B56" s="38" t="s">
        <v>60</v>
      </c>
      <c r="C56" s="38" t="s">
        <v>60</v>
      </c>
      <c r="D56" s="38" t="s">
        <v>60</v>
      </c>
      <c r="E56" s="38">
        <v>0.0</v>
      </c>
      <c r="F56" s="38">
        <v>0.0</v>
      </c>
      <c r="G56" s="38">
        <v>0.0</v>
      </c>
      <c r="H56" s="38">
        <f t="shared" si="30"/>
        <v>0</v>
      </c>
      <c r="I56" s="38">
        <v>0.0</v>
      </c>
      <c r="J56" s="38">
        <v>0.0</v>
      </c>
      <c r="K56" s="38">
        <v>0.0</v>
      </c>
      <c r="L56" s="38">
        <v>0.0</v>
      </c>
      <c r="M56" s="38">
        <v>0.0</v>
      </c>
      <c r="N56" s="38">
        <f t="shared" si="31"/>
        <v>0</v>
      </c>
      <c r="O56" s="25" t="str">
        <f t="shared" si="32"/>
        <v>Validado</v>
      </c>
      <c r="P56" s="25"/>
      <c r="Q56" s="25"/>
      <c r="R56" s="25"/>
      <c r="S56" s="25"/>
      <c r="T56" s="25"/>
      <c r="U56" s="25"/>
      <c r="V56" s="25"/>
      <c r="W56" s="25"/>
      <c r="X56" s="25"/>
      <c r="Y56" s="25"/>
      <c r="Z56" s="25"/>
    </row>
    <row r="57" ht="12.75" customHeight="1">
      <c r="A57" s="38" t="s">
        <v>60</v>
      </c>
      <c r="B57" s="38" t="s">
        <v>60</v>
      </c>
      <c r="C57" s="38" t="s">
        <v>60</v>
      </c>
      <c r="D57" s="38" t="s">
        <v>60</v>
      </c>
      <c r="E57" s="38">
        <v>0.0</v>
      </c>
      <c r="F57" s="38">
        <v>0.0</v>
      </c>
      <c r="G57" s="38">
        <v>0.0</v>
      </c>
      <c r="H57" s="38">
        <f t="shared" si="30"/>
        <v>0</v>
      </c>
      <c r="I57" s="38">
        <v>0.0</v>
      </c>
      <c r="J57" s="38">
        <v>0.0</v>
      </c>
      <c r="K57" s="38">
        <v>0.0</v>
      </c>
      <c r="L57" s="38">
        <v>0.0</v>
      </c>
      <c r="M57" s="38">
        <v>0.0</v>
      </c>
      <c r="N57" s="38">
        <f t="shared" si="31"/>
        <v>0</v>
      </c>
      <c r="O57" s="25" t="str">
        <f t="shared" si="32"/>
        <v>Validado</v>
      </c>
      <c r="P57" s="25"/>
      <c r="Q57" s="25"/>
      <c r="R57" s="25"/>
      <c r="S57" s="25"/>
      <c r="T57" s="25"/>
      <c r="U57" s="25"/>
      <c r="V57" s="25"/>
      <c r="W57" s="25"/>
      <c r="X57" s="25"/>
      <c r="Y57" s="25"/>
      <c r="Z57" s="25"/>
    </row>
    <row r="58" ht="12.75" customHeight="1">
      <c r="A58" s="38" t="s">
        <v>60</v>
      </c>
      <c r="B58" s="38" t="s">
        <v>60</v>
      </c>
      <c r="C58" s="38" t="s">
        <v>60</v>
      </c>
      <c r="D58" s="38" t="s">
        <v>60</v>
      </c>
      <c r="E58" s="38">
        <v>0.0</v>
      </c>
      <c r="F58" s="38">
        <v>0.0</v>
      </c>
      <c r="G58" s="38">
        <v>0.0</v>
      </c>
      <c r="H58" s="38">
        <f t="shared" si="30"/>
        <v>0</v>
      </c>
      <c r="I58" s="38">
        <v>0.0</v>
      </c>
      <c r="J58" s="38">
        <v>0.0</v>
      </c>
      <c r="K58" s="38">
        <v>0.0</v>
      </c>
      <c r="L58" s="38">
        <v>0.0</v>
      </c>
      <c r="M58" s="38">
        <v>0.0</v>
      </c>
      <c r="N58" s="38">
        <f t="shared" si="31"/>
        <v>0</v>
      </c>
      <c r="O58" s="25" t="str">
        <f t="shared" si="32"/>
        <v>Validado</v>
      </c>
      <c r="P58" s="25"/>
      <c r="Q58" s="25"/>
      <c r="R58" s="25"/>
      <c r="S58" s="25"/>
      <c r="T58" s="25"/>
      <c r="U58" s="25"/>
      <c r="V58" s="25"/>
      <c r="W58" s="25"/>
      <c r="X58" s="25"/>
      <c r="Y58" s="25"/>
      <c r="Z58" s="25"/>
    </row>
    <row r="59" ht="12.75" customHeight="1">
      <c r="A59" s="25"/>
      <c r="B59" s="25"/>
      <c r="C59" s="25"/>
      <c r="D59" s="25"/>
      <c r="E59" s="25"/>
      <c r="F59" s="25"/>
      <c r="G59" s="25"/>
      <c r="H59" s="38">
        <f t="shared" ref="H59:N59" si="33">SUM(H55:H58)</f>
        <v>17280000</v>
      </c>
      <c r="I59" s="38">
        <f t="shared" si="33"/>
        <v>0</v>
      </c>
      <c r="J59" s="38">
        <f t="shared" si="33"/>
        <v>0</v>
      </c>
      <c r="K59" s="38">
        <f t="shared" si="33"/>
        <v>17280000</v>
      </c>
      <c r="L59" s="38">
        <f t="shared" si="33"/>
        <v>0</v>
      </c>
      <c r="M59" s="38">
        <f t="shared" si="33"/>
        <v>0</v>
      </c>
      <c r="N59" s="38">
        <f t="shared" si="33"/>
        <v>17280000</v>
      </c>
      <c r="O59" s="25" t="str">
        <f t="shared" si="32"/>
        <v>Validado</v>
      </c>
      <c r="P59" s="25"/>
      <c r="Q59" s="25"/>
      <c r="R59" s="25"/>
      <c r="S59" s="25"/>
      <c r="T59" s="25"/>
      <c r="U59" s="25"/>
      <c r="V59" s="25"/>
      <c r="W59" s="25"/>
      <c r="X59" s="25"/>
      <c r="Y59" s="25"/>
      <c r="Z59" s="25"/>
    </row>
    <row r="60" ht="12.75" customHeight="1">
      <c r="A60" s="25"/>
      <c r="B60" s="25"/>
      <c r="C60" s="25"/>
      <c r="D60" s="25"/>
      <c r="E60" s="25"/>
      <c r="F60" s="25"/>
      <c r="G60" s="25"/>
      <c r="H60" s="25"/>
      <c r="I60" s="42"/>
      <c r="J60" s="25"/>
      <c r="K60" s="25"/>
      <c r="L60" s="25"/>
      <c r="M60" s="25"/>
      <c r="N60" s="25"/>
      <c r="O60" s="25"/>
      <c r="P60" s="25"/>
      <c r="Q60" s="25"/>
      <c r="R60" s="25"/>
      <c r="S60" s="25"/>
      <c r="T60" s="25"/>
      <c r="U60" s="25"/>
      <c r="V60" s="25"/>
      <c r="W60" s="25"/>
      <c r="X60" s="25"/>
      <c r="Y60" s="25"/>
      <c r="Z60" s="25"/>
    </row>
    <row r="61" ht="12.75" customHeight="1">
      <c r="A61" s="27" t="s">
        <v>95</v>
      </c>
      <c r="B61" s="28"/>
      <c r="C61" s="28"/>
      <c r="D61" s="28"/>
      <c r="E61" s="28"/>
      <c r="F61" s="29"/>
      <c r="G61" s="25"/>
      <c r="H61" s="25"/>
      <c r="I61" s="25"/>
      <c r="J61" s="25"/>
      <c r="K61" s="25"/>
      <c r="L61" s="25"/>
      <c r="M61" s="25"/>
      <c r="N61" s="25"/>
      <c r="O61" s="25"/>
      <c r="P61" s="25"/>
      <c r="Q61" s="25"/>
      <c r="R61" s="25"/>
      <c r="S61" s="25"/>
      <c r="T61" s="25"/>
      <c r="U61" s="25"/>
      <c r="V61" s="25"/>
      <c r="W61" s="25"/>
      <c r="X61" s="25"/>
      <c r="Y61" s="25"/>
      <c r="Z61" s="25"/>
    </row>
    <row r="62" ht="12.75" customHeight="1">
      <c r="A62" s="25"/>
      <c r="B62" s="25"/>
      <c r="C62" s="25"/>
      <c r="D62" s="25"/>
      <c r="E62" s="25"/>
      <c r="F62" s="25"/>
      <c r="G62" s="25"/>
      <c r="H62" s="30" t="s">
        <v>96</v>
      </c>
      <c r="I62" s="31"/>
      <c r="J62" s="31"/>
      <c r="K62" s="31"/>
      <c r="L62" s="32"/>
      <c r="M62" s="25"/>
      <c r="N62" s="25"/>
      <c r="O62" s="25"/>
      <c r="P62" s="25"/>
      <c r="Q62" s="25"/>
      <c r="R62" s="25"/>
      <c r="S62" s="25"/>
      <c r="T62" s="25"/>
      <c r="U62" s="25"/>
      <c r="V62" s="25"/>
      <c r="W62" s="25"/>
      <c r="X62" s="25"/>
      <c r="Y62" s="25"/>
      <c r="Z62" s="25"/>
    </row>
    <row r="63" ht="12.75" customHeight="1">
      <c r="A63" s="33" t="s">
        <v>27</v>
      </c>
      <c r="B63" s="33" t="s">
        <v>81</v>
      </c>
      <c r="C63" s="33" t="s">
        <v>82</v>
      </c>
      <c r="D63" s="33" t="s">
        <v>83</v>
      </c>
      <c r="E63" s="33" t="s">
        <v>84</v>
      </c>
      <c r="F63" s="33" t="s">
        <v>97</v>
      </c>
      <c r="G63" s="34" t="s">
        <v>33</v>
      </c>
      <c r="H63" s="35" t="s">
        <v>34</v>
      </c>
      <c r="I63" s="35" t="s">
        <v>35</v>
      </c>
      <c r="J63" s="35" t="s">
        <v>36</v>
      </c>
      <c r="K63" s="35" t="s">
        <v>37</v>
      </c>
      <c r="L63" s="35" t="s">
        <v>38</v>
      </c>
      <c r="M63" s="33" t="s">
        <v>39</v>
      </c>
      <c r="N63" s="33" t="s">
        <v>40</v>
      </c>
      <c r="O63" s="25"/>
      <c r="P63" s="25"/>
      <c r="Q63" s="25"/>
      <c r="R63" s="25"/>
      <c r="S63" s="25"/>
      <c r="T63" s="25"/>
      <c r="U63" s="25"/>
      <c r="V63" s="25"/>
      <c r="W63" s="25"/>
      <c r="X63" s="25"/>
      <c r="Y63" s="25"/>
      <c r="Z63" s="25"/>
    </row>
    <row r="64" ht="12.75" customHeight="1">
      <c r="A64" s="43" t="s">
        <v>98</v>
      </c>
      <c r="B64" s="37" t="s">
        <v>10</v>
      </c>
      <c r="C64" s="37" t="s">
        <v>99</v>
      </c>
      <c r="D64" s="37" t="s">
        <v>94</v>
      </c>
      <c r="E64" s="37">
        <v>1.0</v>
      </c>
      <c r="F64" s="37">
        <v>6.1E7</v>
      </c>
      <c r="G64" s="38">
        <f>E64*F64</f>
        <v>61000000</v>
      </c>
      <c r="H64" s="38">
        <f>G64</f>
        <v>61000000</v>
      </c>
      <c r="I64" s="38">
        <v>0.0</v>
      </c>
      <c r="J64" s="38">
        <v>0.0</v>
      </c>
      <c r="K64" s="38">
        <v>0.0</v>
      </c>
      <c r="L64" s="38">
        <v>0.0</v>
      </c>
      <c r="M64" s="38">
        <f t="shared" ref="M64:M72" si="34">SUM(H64:L64)</f>
        <v>61000000</v>
      </c>
      <c r="N64" s="25" t="str">
        <f t="shared" ref="N64:N73" si="35">IF(G64=M64,"Validado","Error")</f>
        <v>Validado</v>
      </c>
      <c r="O64" s="25"/>
      <c r="P64" s="25"/>
      <c r="Q64" s="25"/>
      <c r="R64" s="25"/>
      <c r="S64" s="25"/>
      <c r="T64" s="25"/>
      <c r="U64" s="25"/>
      <c r="V64" s="25"/>
      <c r="W64" s="25"/>
      <c r="X64" s="25"/>
      <c r="Y64" s="25"/>
      <c r="Z64" s="25"/>
    </row>
    <row r="65" ht="12.75" customHeight="1">
      <c r="A65" s="37" t="s">
        <v>100</v>
      </c>
      <c r="B65" s="37" t="s">
        <v>101</v>
      </c>
      <c r="C65" s="37" t="s">
        <v>102</v>
      </c>
      <c r="D65" s="37" t="s">
        <v>94</v>
      </c>
      <c r="E65" s="37">
        <v>1.0</v>
      </c>
      <c r="F65" s="37">
        <v>2.37E7</v>
      </c>
      <c r="G65" s="38">
        <f>F65</f>
        <v>23700000</v>
      </c>
      <c r="H65" s="37">
        <v>0.0</v>
      </c>
      <c r="I65" s="37">
        <v>0.0</v>
      </c>
      <c r="J65" s="37">
        <v>0.0</v>
      </c>
      <c r="K65" s="37">
        <f>G65</f>
        <v>23700000</v>
      </c>
      <c r="L65" s="37">
        <v>0.0</v>
      </c>
      <c r="M65" s="38">
        <f t="shared" si="34"/>
        <v>23700000</v>
      </c>
      <c r="N65" s="25" t="str">
        <f t="shared" si="35"/>
        <v>Validado</v>
      </c>
      <c r="O65" s="25"/>
      <c r="P65" s="25"/>
      <c r="Q65" s="25"/>
      <c r="R65" s="25"/>
      <c r="S65" s="25"/>
      <c r="T65" s="25"/>
      <c r="U65" s="25"/>
      <c r="V65" s="25"/>
      <c r="W65" s="25"/>
      <c r="X65" s="25"/>
      <c r="Y65" s="25"/>
      <c r="Z65" s="25"/>
    </row>
    <row r="66" ht="12.75" customHeight="1">
      <c r="A66" s="38" t="s">
        <v>103</v>
      </c>
      <c r="B66" s="38" t="s">
        <v>60</v>
      </c>
      <c r="C66" s="43" t="s">
        <v>104</v>
      </c>
      <c r="D66" s="38" t="s">
        <v>60</v>
      </c>
      <c r="E66" s="38">
        <v>0.0</v>
      </c>
      <c r="F66" s="38">
        <v>0.0</v>
      </c>
      <c r="G66" s="38">
        <f t="shared" ref="G66:G72" si="36">E66*F66</f>
        <v>0</v>
      </c>
      <c r="H66" s="38">
        <v>0.0</v>
      </c>
      <c r="I66" s="38">
        <v>0.0</v>
      </c>
      <c r="J66" s="38">
        <v>0.0</v>
      </c>
      <c r="K66" s="38">
        <v>0.0</v>
      </c>
      <c r="L66" s="38">
        <v>0.0</v>
      </c>
      <c r="M66" s="38">
        <f t="shared" si="34"/>
        <v>0</v>
      </c>
      <c r="N66" s="25" t="str">
        <f t="shared" si="35"/>
        <v>Validado</v>
      </c>
      <c r="O66" s="25"/>
      <c r="P66" s="25"/>
      <c r="Q66" s="25"/>
      <c r="R66" s="25"/>
      <c r="S66" s="25"/>
      <c r="T66" s="25"/>
      <c r="U66" s="25"/>
      <c r="V66" s="25"/>
      <c r="W66" s="25"/>
      <c r="X66" s="25"/>
      <c r="Y66" s="25"/>
      <c r="Z66" s="25"/>
    </row>
    <row r="67" ht="12.75" customHeight="1">
      <c r="A67" s="38" t="s">
        <v>105</v>
      </c>
      <c r="B67" s="38" t="s">
        <v>60</v>
      </c>
      <c r="C67" s="43" t="s">
        <v>104</v>
      </c>
      <c r="D67" s="38" t="s">
        <v>60</v>
      </c>
      <c r="E67" s="38">
        <v>0.0</v>
      </c>
      <c r="F67" s="38">
        <v>0.0</v>
      </c>
      <c r="G67" s="38">
        <f t="shared" si="36"/>
        <v>0</v>
      </c>
      <c r="H67" s="38">
        <v>0.0</v>
      </c>
      <c r="I67" s="38">
        <v>0.0</v>
      </c>
      <c r="J67" s="38">
        <v>0.0</v>
      </c>
      <c r="K67" s="38">
        <v>0.0</v>
      </c>
      <c r="L67" s="38">
        <v>0.0</v>
      </c>
      <c r="M67" s="38">
        <f t="shared" si="34"/>
        <v>0</v>
      </c>
      <c r="N67" s="25" t="str">
        <f t="shared" si="35"/>
        <v>Validado</v>
      </c>
      <c r="O67" s="25"/>
      <c r="P67" s="25"/>
      <c r="Q67" s="25"/>
      <c r="R67" s="25"/>
      <c r="S67" s="25"/>
      <c r="T67" s="25"/>
      <c r="U67" s="25"/>
      <c r="V67" s="25"/>
      <c r="W67" s="25"/>
      <c r="X67" s="25"/>
      <c r="Y67" s="25"/>
      <c r="Z67" s="25"/>
    </row>
    <row r="68" ht="12.75" customHeight="1">
      <c r="A68" s="38" t="s">
        <v>106</v>
      </c>
      <c r="B68" s="38" t="s">
        <v>60</v>
      </c>
      <c r="C68" s="44" t="s">
        <v>107</v>
      </c>
      <c r="D68" s="38" t="s">
        <v>60</v>
      </c>
      <c r="E68" s="37">
        <v>1.0</v>
      </c>
      <c r="F68" s="37">
        <v>2000000.0</v>
      </c>
      <c r="G68" s="38">
        <f t="shared" si="36"/>
        <v>2000000</v>
      </c>
      <c r="H68" s="38">
        <f>G68</f>
        <v>2000000</v>
      </c>
      <c r="I68" s="38">
        <v>0.0</v>
      </c>
      <c r="J68" s="38">
        <v>0.0</v>
      </c>
      <c r="K68" s="38">
        <v>0.0</v>
      </c>
      <c r="L68" s="38">
        <v>0.0</v>
      </c>
      <c r="M68" s="38">
        <f t="shared" si="34"/>
        <v>2000000</v>
      </c>
      <c r="N68" s="25" t="str">
        <f t="shared" si="35"/>
        <v>Validado</v>
      </c>
      <c r="O68" s="25"/>
      <c r="P68" s="25"/>
      <c r="Q68" s="25"/>
      <c r="R68" s="25"/>
      <c r="S68" s="25"/>
      <c r="T68" s="25"/>
      <c r="U68" s="25"/>
      <c r="V68" s="25"/>
      <c r="W68" s="25"/>
      <c r="X68" s="25"/>
      <c r="Y68" s="25"/>
      <c r="Z68" s="25"/>
    </row>
    <row r="69" ht="12.75" customHeight="1">
      <c r="A69" s="38" t="s">
        <v>106</v>
      </c>
      <c r="B69" s="38" t="s">
        <v>60</v>
      </c>
      <c r="C69" s="43" t="s">
        <v>108</v>
      </c>
      <c r="D69" s="38" t="s">
        <v>60</v>
      </c>
      <c r="E69" s="38">
        <v>0.0</v>
      </c>
      <c r="F69" s="38">
        <v>0.0</v>
      </c>
      <c r="G69" s="38">
        <f t="shared" si="36"/>
        <v>0</v>
      </c>
      <c r="H69" s="38">
        <v>0.0</v>
      </c>
      <c r="I69" s="38">
        <v>0.0</v>
      </c>
      <c r="J69" s="38">
        <v>0.0</v>
      </c>
      <c r="K69" s="38">
        <v>0.0</v>
      </c>
      <c r="L69" s="38">
        <v>0.0</v>
      </c>
      <c r="M69" s="38">
        <f t="shared" si="34"/>
        <v>0</v>
      </c>
      <c r="N69" s="25" t="str">
        <f t="shared" si="35"/>
        <v>Validado</v>
      </c>
      <c r="O69" s="25"/>
      <c r="P69" s="25"/>
      <c r="Q69" s="25"/>
      <c r="R69" s="25"/>
      <c r="S69" s="25"/>
      <c r="T69" s="25"/>
      <c r="U69" s="25"/>
      <c r="V69" s="25"/>
      <c r="W69" s="25"/>
      <c r="X69" s="25"/>
      <c r="Y69" s="25"/>
      <c r="Z69" s="25"/>
    </row>
    <row r="70" ht="12.75" customHeight="1">
      <c r="A70" s="38" t="s">
        <v>109</v>
      </c>
      <c r="B70" s="38" t="s">
        <v>60</v>
      </c>
      <c r="C70" s="44" t="s">
        <v>110</v>
      </c>
      <c r="D70" s="38" t="s">
        <v>60</v>
      </c>
      <c r="E70" s="37">
        <v>1.0</v>
      </c>
      <c r="F70" s="37">
        <v>1000000.0</v>
      </c>
      <c r="G70" s="38">
        <f t="shared" si="36"/>
        <v>1000000</v>
      </c>
      <c r="H70" s="38">
        <f>G70</f>
        <v>1000000</v>
      </c>
      <c r="I70" s="38">
        <v>0.0</v>
      </c>
      <c r="J70" s="38">
        <v>0.0</v>
      </c>
      <c r="K70" s="38">
        <v>0.0</v>
      </c>
      <c r="L70" s="38">
        <v>0.0</v>
      </c>
      <c r="M70" s="38">
        <f t="shared" si="34"/>
        <v>1000000</v>
      </c>
      <c r="N70" s="25" t="str">
        <f t="shared" si="35"/>
        <v>Validado</v>
      </c>
      <c r="O70" s="25"/>
      <c r="P70" s="25"/>
      <c r="Q70" s="25"/>
      <c r="R70" s="25"/>
      <c r="S70" s="25"/>
      <c r="T70" s="25"/>
      <c r="U70" s="25"/>
      <c r="V70" s="25"/>
      <c r="W70" s="25"/>
      <c r="X70" s="25"/>
      <c r="Y70" s="25"/>
      <c r="Z70" s="25"/>
    </row>
    <row r="71" ht="12.75" customHeight="1">
      <c r="A71" s="38" t="s">
        <v>111</v>
      </c>
      <c r="B71" s="38" t="s">
        <v>60</v>
      </c>
      <c r="C71" s="43" t="s">
        <v>108</v>
      </c>
      <c r="D71" s="38" t="s">
        <v>60</v>
      </c>
      <c r="E71" s="38">
        <v>0.0</v>
      </c>
      <c r="F71" s="38">
        <v>0.0</v>
      </c>
      <c r="G71" s="38">
        <f t="shared" si="36"/>
        <v>0</v>
      </c>
      <c r="H71" s="38">
        <v>0.0</v>
      </c>
      <c r="I71" s="38">
        <v>0.0</v>
      </c>
      <c r="J71" s="38">
        <v>0.0</v>
      </c>
      <c r="K71" s="38">
        <v>0.0</v>
      </c>
      <c r="L71" s="38">
        <v>0.0</v>
      </c>
      <c r="M71" s="38">
        <f t="shared" si="34"/>
        <v>0</v>
      </c>
      <c r="N71" s="25" t="str">
        <f t="shared" si="35"/>
        <v>Validado</v>
      </c>
      <c r="O71" s="25"/>
      <c r="P71" s="25"/>
      <c r="Q71" s="25"/>
      <c r="R71" s="25"/>
      <c r="S71" s="25"/>
      <c r="T71" s="25"/>
      <c r="U71" s="25"/>
      <c r="V71" s="25"/>
      <c r="W71" s="25"/>
      <c r="X71" s="25"/>
      <c r="Y71" s="25"/>
      <c r="Z71" s="25"/>
    </row>
    <row r="72" ht="12.75" customHeight="1">
      <c r="A72" s="38" t="s">
        <v>112</v>
      </c>
      <c r="B72" s="38" t="s">
        <v>60</v>
      </c>
      <c r="C72" s="38" t="s">
        <v>60</v>
      </c>
      <c r="D72" s="38" t="s">
        <v>60</v>
      </c>
      <c r="E72" s="38">
        <v>0.0</v>
      </c>
      <c r="F72" s="38">
        <v>0.0</v>
      </c>
      <c r="G72" s="38">
        <f t="shared" si="36"/>
        <v>0</v>
      </c>
      <c r="H72" s="38">
        <v>0.0</v>
      </c>
      <c r="I72" s="38">
        <v>0.0</v>
      </c>
      <c r="J72" s="38">
        <v>0.0</v>
      </c>
      <c r="K72" s="38">
        <v>0.0</v>
      </c>
      <c r="L72" s="38">
        <v>0.0</v>
      </c>
      <c r="M72" s="38">
        <f t="shared" si="34"/>
        <v>0</v>
      </c>
      <c r="N72" s="25" t="str">
        <f t="shared" si="35"/>
        <v>Validado</v>
      </c>
      <c r="O72" s="25"/>
      <c r="P72" s="25"/>
      <c r="Q72" s="25"/>
      <c r="R72" s="25"/>
      <c r="S72" s="25"/>
      <c r="T72" s="25"/>
      <c r="U72" s="25"/>
      <c r="V72" s="25"/>
      <c r="W72" s="25"/>
      <c r="X72" s="25"/>
      <c r="Y72" s="25"/>
      <c r="Z72" s="25"/>
    </row>
    <row r="73" ht="12.75" customHeight="1">
      <c r="A73" s="25"/>
      <c r="B73" s="25"/>
      <c r="C73" s="25"/>
      <c r="D73" s="25"/>
      <c r="E73" s="25"/>
      <c r="F73" s="25"/>
      <c r="G73" s="38">
        <f t="shared" ref="G73:M73" si="37">SUM(G64:G72)</f>
        <v>87700000</v>
      </c>
      <c r="H73" s="38">
        <f t="shared" si="37"/>
        <v>64000000</v>
      </c>
      <c r="I73" s="38">
        <f t="shared" si="37"/>
        <v>0</v>
      </c>
      <c r="J73" s="38">
        <f t="shared" si="37"/>
        <v>0</v>
      </c>
      <c r="K73" s="38">
        <f t="shared" si="37"/>
        <v>23700000</v>
      </c>
      <c r="L73" s="38">
        <f t="shared" si="37"/>
        <v>0</v>
      </c>
      <c r="M73" s="38">
        <f t="shared" si="37"/>
        <v>87700000</v>
      </c>
      <c r="N73" s="25" t="str">
        <f t="shared" si="35"/>
        <v>Validado</v>
      </c>
      <c r="O73" s="25"/>
      <c r="P73" s="25"/>
      <c r="Q73" s="25"/>
      <c r="R73" s="25"/>
      <c r="S73" s="25"/>
      <c r="T73" s="25"/>
      <c r="U73" s="25"/>
      <c r="V73" s="25"/>
      <c r="W73" s="25"/>
      <c r="X73" s="25"/>
      <c r="Y73" s="25"/>
      <c r="Z73" s="25"/>
    </row>
    <row r="74" ht="12.7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2.75" customHeight="1">
      <c r="A75" s="27" t="s">
        <v>113</v>
      </c>
      <c r="B75" s="28"/>
      <c r="C75" s="28"/>
      <c r="D75" s="28"/>
      <c r="E75" s="28"/>
      <c r="F75" s="29"/>
      <c r="G75" s="25"/>
      <c r="H75" s="25"/>
      <c r="I75" s="25"/>
      <c r="J75" s="25"/>
      <c r="K75" s="25"/>
      <c r="L75" s="25"/>
      <c r="M75" s="25"/>
      <c r="N75" s="25"/>
      <c r="O75" s="25"/>
      <c r="P75" s="25"/>
      <c r="Q75" s="25"/>
      <c r="R75" s="25"/>
      <c r="S75" s="25"/>
      <c r="T75" s="25"/>
      <c r="U75" s="25"/>
      <c r="V75" s="25"/>
      <c r="W75" s="25"/>
      <c r="X75" s="25"/>
      <c r="Y75" s="25"/>
      <c r="Z75" s="25"/>
    </row>
    <row r="76" ht="12.75" customHeight="1">
      <c r="A76" s="45"/>
      <c r="B76" s="45"/>
      <c r="C76" s="45"/>
      <c r="D76" s="45"/>
      <c r="E76" s="45"/>
      <c r="F76" s="45"/>
      <c r="G76" s="25"/>
      <c r="H76" s="25"/>
      <c r="I76" s="25"/>
      <c r="J76" s="25"/>
      <c r="K76" s="25"/>
      <c r="L76" s="25"/>
      <c r="M76" s="25"/>
      <c r="N76" s="25"/>
      <c r="O76" s="25"/>
      <c r="P76" s="25"/>
      <c r="Q76" s="25"/>
      <c r="R76" s="25"/>
      <c r="S76" s="25"/>
      <c r="T76" s="25"/>
      <c r="U76" s="25"/>
      <c r="V76" s="25"/>
      <c r="W76" s="25"/>
      <c r="X76" s="25"/>
      <c r="Y76" s="25"/>
      <c r="Z76" s="25"/>
    </row>
    <row r="77" ht="12.75" customHeight="1">
      <c r="A77" s="25"/>
      <c r="B77" s="25"/>
      <c r="C77" s="25"/>
      <c r="D77" s="30" t="s">
        <v>114</v>
      </c>
      <c r="E77" s="31"/>
      <c r="F77" s="31"/>
      <c r="G77" s="31"/>
      <c r="H77" s="32"/>
      <c r="I77" s="25"/>
      <c r="J77" s="25"/>
      <c r="K77" s="25"/>
      <c r="L77" s="25"/>
      <c r="M77" s="25"/>
      <c r="N77" s="25"/>
      <c r="O77" s="25"/>
      <c r="P77" s="25"/>
      <c r="Q77" s="25"/>
      <c r="R77" s="25"/>
      <c r="S77" s="25"/>
      <c r="T77" s="25"/>
      <c r="U77" s="25"/>
      <c r="V77" s="25"/>
      <c r="W77" s="25"/>
      <c r="X77" s="25"/>
      <c r="Y77" s="25"/>
      <c r="Z77" s="25"/>
    </row>
    <row r="78" ht="12.75" customHeight="1">
      <c r="A78" s="33" t="s">
        <v>27</v>
      </c>
      <c r="B78" s="33" t="s">
        <v>81</v>
      </c>
      <c r="C78" s="34" t="s">
        <v>33</v>
      </c>
      <c r="D78" s="35" t="s">
        <v>34</v>
      </c>
      <c r="E78" s="35" t="s">
        <v>35</v>
      </c>
      <c r="F78" s="35" t="s">
        <v>36</v>
      </c>
      <c r="G78" s="35" t="s">
        <v>37</v>
      </c>
      <c r="H78" s="35" t="s">
        <v>38</v>
      </c>
      <c r="I78" s="33" t="s">
        <v>39</v>
      </c>
      <c r="J78" s="33" t="s">
        <v>40</v>
      </c>
      <c r="K78" s="46" t="s">
        <v>115</v>
      </c>
      <c r="L78" s="25"/>
      <c r="M78" s="25"/>
      <c r="N78" s="25"/>
      <c r="O78" s="25"/>
      <c r="P78" s="25"/>
      <c r="Q78" s="25"/>
      <c r="R78" s="25"/>
      <c r="S78" s="25"/>
      <c r="T78" s="25"/>
      <c r="U78" s="25"/>
      <c r="V78" s="25"/>
      <c r="W78" s="25"/>
      <c r="X78" s="25"/>
      <c r="Y78" s="25"/>
      <c r="Z78" s="25"/>
    </row>
    <row r="79" ht="12.75" customHeight="1">
      <c r="A79" s="47" t="s">
        <v>116</v>
      </c>
      <c r="B79" s="47" t="s">
        <v>10</v>
      </c>
      <c r="C79" s="37">
        <v>3.5171E7</v>
      </c>
      <c r="D79" s="38">
        <f t="shared" ref="D79:D83" si="38">C79</f>
        <v>35171000</v>
      </c>
      <c r="E79" s="48" t="s">
        <v>12</v>
      </c>
      <c r="F79" s="48" t="s">
        <v>12</v>
      </c>
      <c r="G79" s="48" t="s">
        <v>12</v>
      </c>
      <c r="H79" s="48" t="s">
        <v>12</v>
      </c>
      <c r="I79" s="38">
        <f t="shared" ref="I79:I83" si="39">SUM(D79:H79)</f>
        <v>35171000</v>
      </c>
      <c r="J79" s="25" t="str">
        <f t="shared" ref="J79:J84" si="40">IF(C79=I79,"Validado","Error")</f>
        <v>Validado</v>
      </c>
      <c r="K79" s="49">
        <f t="shared" ref="K79:K84" si="41">C79/$B$94</f>
        <v>0.1484008439</v>
      </c>
      <c r="L79" s="25"/>
      <c r="M79" s="25"/>
      <c r="N79" s="25"/>
      <c r="O79" s="25"/>
      <c r="P79" s="25"/>
      <c r="Q79" s="25"/>
      <c r="R79" s="25"/>
      <c r="S79" s="25"/>
      <c r="T79" s="25"/>
      <c r="U79" s="25"/>
      <c r="V79" s="25"/>
      <c r="W79" s="25"/>
      <c r="X79" s="25"/>
      <c r="Y79" s="25"/>
      <c r="Z79" s="25"/>
    </row>
    <row r="80" ht="12.75" customHeight="1">
      <c r="A80" s="38" t="s">
        <v>60</v>
      </c>
      <c r="B80" s="38" t="s">
        <v>60</v>
      </c>
      <c r="C80" s="38">
        <v>0.0</v>
      </c>
      <c r="D80" s="38">
        <f t="shared" si="38"/>
        <v>0</v>
      </c>
      <c r="E80" s="48" t="s">
        <v>12</v>
      </c>
      <c r="F80" s="48" t="s">
        <v>12</v>
      </c>
      <c r="G80" s="48" t="s">
        <v>12</v>
      </c>
      <c r="H80" s="48" t="s">
        <v>12</v>
      </c>
      <c r="I80" s="38">
        <f t="shared" si="39"/>
        <v>0</v>
      </c>
      <c r="J80" s="25" t="str">
        <f t="shared" si="40"/>
        <v>Validado</v>
      </c>
      <c r="K80" s="49">
        <f t="shared" si="41"/>
        <v>0</v>
      </c>
      <c r="L80" s="25"/>
      <c r="M80" s="25"/>
      <c r="N80" s="25"/>
      <c r="O80" s="25"/>
      <c r="P80" s="25"/>
      <c r="Q80" s="25"/>
      <c r="R80" s="25"/>
      <c r="S80" s="25"/>
      <c r="T80" s="25"/>
      <c r="U80" s="25"/>
      <c r="V80" s="25"/>
      <c r="W80" s="25"/>
      <c r="X80" s="25"/>
      <c r="Y80" s="25"/>
      <c r="Z80" s="25"/>
    </row>
    <row r="81" ht="12.75" customHeight="1">
      <c r="A81" s="38" t="s">
        <v>60</v>
      </c>
      <c r="B81" s="38" t="s">
        <v>60</v>
      </c>
      <c r="C81" s="38">
        <v>0.0</v>
      </c>
      <c r="D81" s="38">
        <f t="shared" si="38"/>
        <v>0</v>
      </c>
      <c r="E81" s="48" t="s">
        <v>12</v>
      </c>
      <c r="F81" s="48" t="s">
        <v>12</v>
      </c>
      <c r="G81" s="48" t="s">
        <v>12</v>
      </c>
      <c r="H81" s="48" t="s">
        <v>12</v>
      </c>
      <c r="I81" s="38">
        <f t="shared" si="39"/>
        <v>0</v>
      </c>
      <c r="J81" s="25" t="str">
        <f t="shared" si="40"/>
        <v>Validado</v>
      </c>
      <c r="K81" s="49">
        <f t="shared" si="41"/>
        <v>0</v>
      </c>
      <c r="L81" s="25"/>
      <c r="M81" s="25"/>
      <c r="N81" s="25"/>
      <c r="O81" s="25"/>
      <c r="P81" s="25"/>
      <c r="Q81" s="25"/>
      <c r="R81" s="25"/>
      <c r="S81" s="25"/>
      <c r="T81" s="25"/>
      <c r="U81" s="25"/>
      <c r="V81" s="25"/>
      <c r="W81" s="25"/>
      <c r="X81" s="25"/>
      <c r="Y81" s="25"/>
      <c r="Z81" s="25"/>
    </row>
    <row r="82" ht="12.75" customHeight="1">
      <c r="A82" s="38" t="s">
        <v>60</v>
      </c>
      <c r="B82" s="38" t="s">
        <v>60</v>
      </c>
      <c r="C82" s="38">
        <v>0.0</v>
      </c>
      <c r="D82" s="38">
        <f t="shared" si="38"/>
        <v>0</v>
      </c>
      <c r="E82" s="48" t="s">
        <v>12</v>
      </c>
      <c r="F82" s="48" t="s">
        <v>12</v>
      </c>
      <c r="G82" s="48" t="s">
        <v>12</v>
      </c>
      <c r="H82" s="48" t="s">
        <v>12</v>
      </c>
      <c r="I82" s="38">
        <f t="shared" si="39"/>
        <v>0</v>
      </c>
      <c r="J82" s="25" t="str">
        <f t="shared" si="40"/>
        <v>Validado</v>
      </c>
      <c r="K82" s="49">
        <f t="shared" si="41"/>
        <v>0</v>
      </c>
      <c r="L82" s="25"/>
      <c r="M82" s="25"/>
      <c r="N82" s="25"/>
      <c r="O82" s="25"/>
      <c r="P82" s="25"/>
      <c r="Q82" s="25"/>
      <c r="R82" s="25"/>
      <c r="S82" s="25"/>
      <c r="T82" s="25"/>
      <c r="U82" s="25"/>
      <c r="V82" s="25"/>
      <c r="W82" s="25"/>
      <c r="X82" s="25"/>
      <c r="Y82" s="25"/>
      <c r="Z82" s="25"/>
    </row>
    <row r="83" ht="12.75" customHeight="1">
      <c r="A83" s="38" t="s">
        <v>60</v>
      </c>
      <c r="B83" s="38" t="s">
        <v>60</v>
      </c>
      <c r="C83" s="38">
        <v>0.0</v>
      </c>
      <c r="D83" s="38">
        <f t="shared" si="38"/>
        <v>0</v>
      </c>
      <c r="E83" s="48" t="s">
        <v>12</v>
      </c>
      <c r="F83" s="48" t="s">
        <v>12</v>
      </c>
      <c r="G83" s="48" t="s">
        <v>12</v>
      </c>
      <c r="H83" s="48" t="s">
        <v>12</v>
      </c>
      <c r="I83" s="38">
        <f t="shared" si="39"/>
        <v>0</v>
      </c>
      <c r="J83" s="25" t="str">
        <f t="shared" si="40"/>
        <v>Validado</v>
      </c>
      <c r="K83" s="49">
        <f t="shared" si="41"/>
        <v>0</v>
      </c>
      <c r="L83" s="25"/>
      <c r="M83" s="25"/>
      <c r="N83" s="25"/>
      <c r="O83" s="25"/>
      <c r="P83" s="25"/>
      <c r="Q83" s="25"/>
      <c r="R83" s="25"/>
      <c r="S83" s="25"/>
      <c r="T83" s="25"/>
      <c r="U83" s="25"/>
      <c r="V83" s="25"/>
      <c r="W83" s="25"/>
      <c r="X83" s="25"/>
      <c r="Y83" s="25"/>
      <c r="Z83" s="25"/>
    </row>
    <row r="84" ht="12.75" customHeight="1">
      <c r="A84" s="25"/>
      <c r="B84" s="25"/>
      <c r="C84" s="38">
        <f t="shared" ref="C84:D84" si="42">SUM(C79:C83)</f>
        <v>35171000</v>
      </c>
      <c r="D84" s="38">
        <f t="shared" si="42"/>
        <v>35171000</v>
      </c>
      <c r="E84" s="48">
        <v>0.0</v>
      </c>
      <c r="F84" s="48">
        <v>0.0</v>
      </c>
      <c r="G84" s="48">
        <v>0.0</v>
      </c>
      <c r="H84" s="48">
        <v>0.0</v>
      </c>
      <c r="I84" s="38">
        <f>SUM(I79:I83)</f>
        <v>35171000</v>
      </c>
      <c r="J84" s="25" t="str">
        <f t="shared" si="40"/>
        <v>Validado</v>
      </c>
      <c r="K84" s="49">
        <f t="shared" si="41"/>
        <v>0.1484008439</v>
      </c>
      <c r="L84" s="25"/>
      <c r="M84" s="25"/>
      <c r="N84" s="25"/>
      <c r="O84" s="25"/>
      <c r="P84" s="25"/>
      <c r="Q84" s="25"/>
      <c r="R84" s="25"/>
      <c r="S84" s="25"/>
      <c r="T84" s="25"/>
      <c r="U84" s="25"/>
      <c r="V84" s="25"/>
      <c r="W84" s="25"/>
      <c r="X84" s="25"/>
      <c r="Y84" s="25"/>
      <c r="Z84" s="25"/>
    </row>
    <row r="85" ht="12.7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2.75" customHeight="1">
      <c r="A86" s="50" t="s">
        <v>117</v>
      </c>
      <c r="B86" s="28"/>
      <c r="C86" s="28"/>
      <c r="D86" s="28"/>
      <c r="E86" s="28"/>
      <c r="F86" s="29"/>
      <c r="G86" s="25"/>
      <c r="H86" s="25"/>
      <c r="I86" s="25"/>
      <c r="J86" s="25"/>
      <c r="K86" s="25"/>
      <c r="L86" s="25"/>
      <c r="M86" s="25"/>
      <c r="N86" s="25"/>
      <c r="O86" s="25"/>
      <c r="P86" s="25"/>
      <c r="Q86" s="25"/>
      <c r="R86" s="25"/>
      <c r="S86" s="25"/>
      <c r="T86" s="25"/>
      <c r="U86" s="25"/>
      <c r="V86" s="25"/>
      <c r="W86" s="25"/>
      <c r="X86" s="25"/>
      <c r="Y86" s="25"/>
      <c r="Z86" s="25"/>
    </row>
    <row r="87" ht="12.7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2.75" customHeight="1">
      <c r="A88" s="35" t="s">
        <v>118</v>
      </c>
      <c r="B88" s="35" t="s">
        <v>119</v>
      </c>
      <c r="C88" s="35" t="s">
        <v>35</v>
      </c>
      <c r="D88" s="35" t="s">
        <v>36</v>
      </c>
      <c r="E88" s="35" t="s">
        <v>37</v>
      </c>
      <c r="F88" s="35" t="s">
        <v>38</v>
      </c>
      <c r="G88" s="35" t="s">
        <v>33</v>
      </c>
      <c r="H88" s="25"/>
      <c r="I88" s="25"/>
      <c r="J88" s="25"/>
      <c r="K88" s="25"/>
      <c r="L88" s="25"/>
      <c r="M88" s="25"/>
      <c r="N88" s="25"/>
      <c r="O88" s="25"/>
      <c r="P88" s="25"/>
      <c r="Q88" s="25"/>
      <c r="R88" s="25"/>
      <c r="S88" s="25"/>
      <c r="T88" s="25"/>
      <c r="U88" s="25"/>
      <c r="V88" s="25"/>
      <c r="W88" s="25"/>
      <c r="X88" s="25"/>
      <c r="Y88" s="25"/>
      <c r="Z88" s="25"/>
    </row>
    <row r="89" ht="12.75" customHeight="1">
      <c r="A89" s="38" t="s">
        <v>120</v>
      </c>
      <c r="B89" s="38">
        <f>H14+I32+J23</f>
        <v>137829000</v>
      </c>
      <c r="C89" s="38">
        <f t="shared" ref="C89:F89" si="43">I14+J32+K23+J41</f>
        <v>0</v>
      </c>
      <c r="D89" s="38">
        <f t="shared" si="43"/>
        <v>43200000</v>
      </c>
      <c r="E89" s="38">
        <f t="shared" si="43"/>
        <v>0</v>
      </c>
      <c r="F89" s="38">
        <f t="shared" si="43"/>
        <v>47410634.58</v>
      </c>
      <c r="G89" s="38">
        <f t="shared" ref="G89:G93" si="45">SUM(B89:F89)</f>
        <v>228439634.6</v>
      </c>
      <c r="H89" s="25"/>
      <c r="I89" s="25"/>
      <c r="J89" s="25"/>
      <c r="K89" s="25"/>
      <c r="L89" s="25"/>
      <c r="M89" s="25"/>
      <c r="N89" s="25"/>
      <c r="O89" s="25"/>
      <c r="P89" s="25"/>
      <c r="Q89" s="25"/>
      <c r="R89" s="25"/>
      <c r="S89" s="25"/>
      <c r="T89" s="25"/>
      <c r="U89" s="25"/>
      <c r="V89" s="25"/>
      <c r="W89" s="25"/>
      <c r="X89" s="25"/>
      <c r="Y89" s="25"/>
      <c r="Z89" s="25"/>
    </row>
    <row r="90" ht="12.75" customHeight="1">
      <c r="A90" s="38" t="s">
        <v>79</v>
      </c>
      <c r="B90" s="38">
        <f t="shared" ref="B90:F90" si="44">I50</f>
        <v>0</v>
      </c>
      <c r="C90" s="38">
        <f t="shared" si="44"/>
        <v>0</v>
      </c>
      <c r="D90" s="38">
        <f t="shared" si="44"/>
        <v>0</v>
      </c>
      <c r="E90" s="38">
        <f t="shared" si="44"/>
        <v>0</v>
      </c>
      <c r="F90" s="38">
        <f t="shared" si="44"/>
        <v>0</v>
      </c>
      <c r="G90" s="38">
        <f t="shared" si="45"/>
        <v>0</v>
      </c>
      <c r="H90" s="25"/>
      <c r="I90" s="25"/>
      <c r="J90" s="25"/>
      <c r="K90" s="25"/>
      <c r="L90" s="25"/>
      <c r="M90" s="25"/>
      <c r="N90" s="25"/>
      <c r="O90" s="25"/>
      <c r="P90" s="25"/>
      <c r="Q90" s="25"/>
      <c r="R90" s="25"/>
      <c r="S90" s="25"/>
      <c r="T90" s="25"/>
      <c r="U90" s="25"/>
      <c r="V90" s="25"/>
      <c r="W90" s="25"/>
      <c r="X90" s="25"/>
      <c r="Y90" s="25"/>
      <c r="Z90" s="25"/>
    </row>
    <row r="91" ht="12.75" customHeight="1">
      <c r="A91" s="38" t="s">
        <v>121</v>
      </c>
      <c r="B91" s="38">
        <f t="shared" ref="B91:F91" si="46">I59</f>
        <v>0</v>
      </c>
      <c r="C91" s="38">
        <f t="shared" si="46"/>
        <v>0</v>
      </c>
      <c r="D91" s="38">
        <f t="shared" si="46"/>
        <v>17280000</v>
      </c>
      <c r="E91" s="38">
        <f t="shared" si="46"/>
        <v>0</v>
      </c>
      <c r="F91" s="38">
        <f t="shared" si="46"/>
        <v>0</v>
      </c>
      <c r="G91" s="38">
        <f t="shared" si="45"/>
        <v>17280000</v>
      </c>
      <c r="H91" s="51" t="str">
        <f>IF(B91/B94&gt;20%,"Supera el 20% máximo permitido","Validado")</f>
        <v>Validado</v>
      </c>
      <c r="I91" s="25"/>
      <c r="J91" s="25"/>
      <c r="K91" s="25"/>
      <c r="L91" s="25"/>
      <c r="M91" s="25"/>
      <c r="N91" s="25"/>
      <c r="O91" s="25"/>
      <c r="P91" s="25"/>
      <c r="Q91" s="25"/>
      <c r="R91" s="25"/>
      <c r="S91" s="25"/>
      <c r="T91" s="25"/>
      <c r="U91" s="25"/>
      <c r="V91" s="25"/>
      <c r="W91" s="25"/>
      <c r="X91" s="25"/>
      <c r="Y91" s="25"/>
      <c r="Z91" s="25"/>
    </row>
    <row r="92" ht="12.75" customHeight="1">
      <c r="A92" s="38" t="s">
        <v>122</v>
      </c>
      <c r="B92" s="38">
        <f t="shared" ref="B92:F92" si="47">H73</f>
        <v>64000000</v>
      </c>
      <c r="C92" s="38">
        <f t="shared" si="47"/>
        <v>0</v>
      </c>
      <c r="D92" s="38">
        <f t="shared" si="47"/>
        <v>0</v>
      </c>
      <c r="E92" s="38">
        <f t="shared" si="47"/>
        <v>23700000</v>
      </c>
      <c r="F92" s="38">
        <f t="shared" si="47"/>
        <v>0</v>
      </c>
      <c r="G92" s="38">
        <f t="shared" si="45"/>
        <v>87700000</v>
      </c>
      <c r="H92" s="25"/>
      <c r="I92" s="25"/>
      <c r="J92" s="25"/>
      <c r="K92" s="25"/>
      <c r="L92" s="25"/>
      <c r="M92" s="25"/>
      <c r="N92" s="25"/>
      <c r="O92" s="25"/>
      <c r="P92" s="25"/>
      <c r="Q92" s="25"/>
      <c r="R92" s="25"/>
      <c r="S92" s="25"/>
      <c r="T92" s="25"/>
      <c r="U92" s="25"/>
      <c r="V92" s="25"/>
      <c r="W92" s="25"/>
      <c r="X92" s="25"/>
      <c r="Y92" s="25"/>
      <c r="Z92" s="25"/>
    </row>
    <row r="93" ht="12.75" customHeight="1">
      <c r="A93" s="38" t="s">
        <v>123</v>
      </c>
      <c r="B93" s="38">
        <f t="shared" ref="B93:F93" si="48">D84</f>
        <v>35171000</v>
      </c>
      <c r="C93" s="38">
        <f t="shared" si="48"/>
        <v>0</v>
      </c>
      <c r="D93" s="38">
        <f t="shared" si="48"/>
        <v>0</v>
      </c>
      <c r="E93" s="38">
        <f t="shared" si="48"/>
        <v>0</v>
      </c>
      <c r="F93" s="38">
        <f t="shared" si="48"/>
        <v>0</v>
      </c>
      <c r="G93" s="38">
        <f t="shared" si="45"/>
        <v>35171000</v>
      </c>
      <c r="H93" s="51" t="str">
        <f>IF(B93/B94&gt;15%,"Supera el 15% máximo permitido","Validado")</f>
        <v>Validado</v>
      </c>
      <c r="I93" s="25"/>
      <c r="J93" s="25"/>
      <c r="K93" s="25"/>
      <c r="L93" s="25"/>
      <c r="M93" s="25"/>
      <c r="N93" s="25"/>
      <c r="O93" s="25"/>
      <c r="P93" s="25"/>
      <c r="Q93" s="25"/>
      <c r="R93" s="25"/>
      <c r="S93" s="25"/>
      <c r="T93" s="25"/>
      <c r="U93" s="25"/>
      <c r="V93" s="25"/>
      <c r="W93" s="25"/>
      <c r="X93" s="25"/>
      <c r="Y93" s="25"/>
      <c r="Z93" s="25"/>
    </row>
    <row r="94" ht="12.75" customHeight="1">
      <c r="A94" s="52" t="s">
        <v>39</v>
      </c>
      <c r="B94" s="52">
        <f t="shared" ref="B94:G94" si="49">SUM(B89:B93)</f>
        <v>237000000</v>
      </c>
      <c r="C94" s="52">
        <f t="shared" si="49"/>
        <v>0</v>
      </c>
      <c r="D94" s="52">
        <f t="shared" si="49"/>
        <v>60480000</v>
      </c>
      <c r="E94" s="52">
        <f t="shared" si="49"/>
        <v>23700000</v>
      </c>
      <c r="F94" s="52">
        <f t="shared" si="49"/>
        <v>47410634.58</v>
      </c>
      <c r="G94" s="52">
        <f t="shared" si="49"/>
        <v>368590634.6</v>
      </c>
      <c r="H94" s="25"/>
      <c r="I94" s="25"/>
      <c r="J94" s="25"/>
      <c r="K94" s="25"/>
      <c r="L94" s="25"/>
      <c r="M94" s="25"/>
      <c r="N94" s="25"/>
      <c r="O94" s="25"/>
      <c r="P94" s="25"/>
      <c r="Q94" s="25"/>
      <c r="R94" s="25"/>
      <c r="S94" s="25"/>
      <c r="T94" s="25"/>
      <c r="U94" s="25"/>
      <c r="V94" s="25"/>
      <c r="W94" s="25"/>
      <c r="X94" s="25"/>
      <c r="Y94" s="25"/>
      <c r="Z94" s="25"/>
    </row>
    <row r="95" ht="12.75" customHeight="1">
      <c r="A95" s="25"/>
      <c r="B95" s="25"/>
      <c r="C95" s="30">
        <f>C94+D94</f>
        <v>60480000</v>
      </c>
      <c r="D95" s="32"/>
      <c r="E95" s="30">
        <f>E94+F94</f>
        <v>71110634.58</v>
      </c>
      <c r="F95" s="32"/>
      <c r="G95" s="25"/>
      <c r="H95" s="25"/>
      <c r="I95" s="25"/>
      <c r="J95" s="25"/>
      <c r="K95" s="25"/>
      <c r="L95" s="25"/>
      <c r="M95" s="25"/>
      <c r="N95" s="25"/>
      <c r="O95" s="25"/>
      <c r="P95" s="25"/>
      <c r="Q95" s="25"/>
      <c r="R95" s="25"/>
      <c r="S95" s="25"/>
      <c r="T95" s="25"/>
      <c r="U95" s="25"/>
      <c r="V95" s="25"/>
      <c r="W95" s="25"/>
      <c r="X95" s="25"/>
      <c r="Y95" s="25"/>
      <c r="Z95" s="25"/>
    </row>
    <row r="96" ht="12.7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2.75" customHeight="1">
      <c r="A97" s="53" t="s">
        <v>124</v>
      </c>
      <c r="B97" s="54"/>
      <c r="C97" s="55" t="s">
        <v>125</v>
      </c>
      <c r="D97" s="55" t="s">
        <v>126</v>
      </c>
      <c r="E97" s="25"/>
      <c r="F97" s="25"/>
      <c r="G97" s="25"/>
      <c r="H97" s="25"/>
      <c r="I97" s="25"/>
      <c r="J97" s="25"/>
      <c r="K97" s="25"/>
      <c r="L97" s="25"/>
      <c r="M97" s="25"/>
      <c r="N97" s="25"/>
      <c r="O97" s="25"/>
      <c r="P97" s="25"/>
      <c r="Q97" s="25"/>
      <c r="R97" s="25"/>
      <c r="S97" s="25"/>
      <c r="T97" s="25"/>
      <c r="U97" s="25"/>
      <c r="V97" s="25"/>
      <c r="W97" s="25"/>
      <c r="X97" s="25"/>
      <c r="Y97" s="25"/>
      <c r="Z97" s="25"/>
    </row>
    <row r="98" ht="12.75" customHeight="1">
      <c r="A98" s="56" t="s">
        <v>127</v>
      </c>
      <c r="B98" s="57"/>
      <c r="C98" s="58">
        <f>B94/D98</f>
        <v>1</v>
      </c>
      <c r="D98" s="59">
        <v>2.37E8</v>
      </c>
      <c r="E98" s="25" t="str">
        <f>IF(C98&lt;=100%,"Validado","Error")</f>
        <v>Validado</v>
      </c>
      <c r="F98" s="25"/>
      <c r="G98" s="25"/>
      <c r="H98" s="25"/>
      <c r="I98" s="25"/>
      <c r="J98" s="25"/>
      <c r="K98" s="25"/>
      <c r="L98" s="25"/>
      <c r="M98" s="25"/>
      <c r="N98" s="25"/>
      <c r="O98" s="25"/>
      <c r="P98" s="25"/>
      <c r="Q98" s="25"/>
      <c r="R98" s="25"/>
      <c r="S98" s="25"/>
      <c r="T98" s="25"/>
      <c r="U98" s="25"/>
      <c r="V98" s="25"/>
      <c r="W98" s="25"/>
      <c r="X98" s="25"/>
      <c r="Y98" s="25"/>
      <c r="Z98" s="25"/>
    </row>
    <row r="99" ht="12.75" customHeight="1">
      <c r="A99" s="56" t="s">
        <v>128</v>
      </c>
      <c r="B99" s="57"/>
      <c r="C99" s="58">
        <v>0.15</v>
      </c>
      <c r="D99" s="38">
        <f>B94*C99</f>
        <v>35550000</v>
      </c>
      <c r="E99" s="25" t="str">
        <f>IF(C95&gt;=D99,"Validado","Error")</f>
        <v>Validado</v>
      </c>
      <c r="F99" s="25"/>
      <c r="G99" s="25"/>
      <c r="H99" s="26"/>
      <c r="I99" s="25"/>
      <c r="J99" s="25"/>
      <c r="K99" s="25"/>
      <c r="L99" s="25"/>
      <c r="M99" s="25"/>
      <c r="N99" s="25"/>
      <c r="O99" s="25"/>
      <c r="P99" s="25"/>
      <c r="Q99" s="25"/>
      <c r="R99" s="25"/>
      <c r="S99" s="25"/>
      <c r="T99" s="25"/>
      <c r="U99" s="25"/>
      <c r="V99" s="25"/>
      <c r="W99" s="25"/>
      <c r="X99" s="25"/>
      <c r="Y99" s="25"/>
      <c r="Z99" s="25"/>
    </row>
    <row r="100" ht="12.75" customHeight="1">
      <c r="A100" s="60" t="s">
        <v>129</v>
      </c>
      <c r="B100" s="61"/>
      <c r="C100" s="58">
        <v>0.3</v>
      </c>
      <c r="D100" s="38">
        <f>B94*C100</f>
        <v>71100000</v>
      </c>
      <c r="E100" s="25" t="str">
        <f>IF(E95&gt;=D100,"Validado","Error")</f>
        <v>Validado</v>
      </c>
      <c r="F100" s="25"/>
      <c r="G100" s="25"/>
      <c r="H100" s="25"/>
      <c r="I100" s="25"/>
      <c r="J100" s="25"/>
      <c r="K100" s="25"/>
      <c r="L100" s="25"/>
      <c r="M100" s="25"/>
      <c r="N100" s="25"/>
      <c r="O100" s="25"/>
      <c r="P100" s="25"/>
      <c r="Q100" s="25"/>
      <c r="R100" s="25"/>
      <c r="S100" s="25"/>
      <c r="T100" s="25"/>
      <c r="U100" s="25"/>
      <c r="V100" s="25"/>
      <c r="W100" s="25"/>
      <c r="X100" s="25"/>
      <c r="Y100" s="25"/>
      <c r="Z100" s="25"/>
    </row>
    <row r="101" ht="12.75" customHeight="1">
      <c r="A101" s="60" t="s">
        <v>130</v>
      </c>
      <c r="B101" s="61"/>
      <c r="C101" s="58">
        <v>0.1</v>
      </c>
      <c r="D101" s="38">
        <f>B94*C101</f>
        <v>23700000</v>
      </c>
      <c r="E101" s="25" t="str">
        <f>IF(E94&gt;=D101,"Validado","Error")</f>
        <v>Validado</v>
      </c>
      <c r="F101" s="25"/>
      <c r="G101" s="25"/>
      <c r="H101" s="25"/>
      <c r="I101" s="25"/>
      <c r="J101" s="25"/>
      <c r="K101" s="25"/>
      <c r="L101" s="25"/>
      <c r="M101" s="25"/>
      <c r="N101" s="25"/>
      <c r="O101" s="25"/>
      <c r="P101" s="25"/>
      <c r="Q101" s="25"/>
      <c r="R101" s="25"/>
      <c r="S101" s="25"/>
      <c r="T101" s="25"/>
      <c r="U101" s="25"/>
      <c r="V101" s="25"/>
      <c r="W101" s="25"/>
      <c r="X101" s="25"/>
      <c r="Y101" s="25"/>
      <c r="Z101" s="25"/>
    </row>
    <row r="102" ht="12.7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2.7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2.75" customHeight="1">
      <c r="A104" s="25"/>
      <c r="B104" s="62"/>
      <c r="C104" s="25"/>
      <c r="D104" s="62"/>
      <c r="E104" s="62"/>
      <c r="F104" s="25"/>
      <c r="G104" s="25"/>
      <c r="H104" s="25"/>
      <c r="I104" s="25"/>
      <c r="J104" s="25"/>
      <c r="K104" s="25"/>
      <c r="L104" s="25"/>
      <c r="M104" s="25"/>
      <c r="N104" s="25"/>
      <c r="O104" s="25"/>
      <c r="P104" s="25"/>
      <c r="Q104" s="25"/>
      <c r="R104" s="25"/>
      <c r="S104" s="25"/>
      <c r="T104" s="25"/>
      <c r="U104" s="25"/>
      <c r="V104" s="25"/>
      <c r="W104" s="25"/>
      <c r="X104" s="25"/>
      <c r="Y104" s="25"/>
      <c r="Z104" s="25"/>
    </row>
    <row r="105" ht="12.75" customHeight="1">
      <c r="A105" s="25"/>
      <c r="B105" s="25"/>
      <c r="C105" s="25"/>
      <c r="D105" s="62"/>
      <c r="E105" s="63"/>
      <c r="F105" s="25"/>
      <c r="G105" s="25"/>
      <c r="H105" s="25"/>
      <c r="I105" s="25"/>
      <c r="J105" s="25"/>
      <c r="K105" s="25"/>
      <c r="L105" s="25"/>
      <c r="M105" s="25"/>
      <c r="N105" s="25"/>
      <c r="O105" s="25"/>
      <c r="P105" s="25"/>
      <c r="Q105" s="25"/>
      <c r="R105" s="25"/>
      <c r="S105" s="25"/>
      <c r="T105" s="25"/>
      <c r="U105" s="25"/>
      <c r="V105" s="25"/>
      <c r="W105" s="25"/>
      <c r="X105" s="25"/>
      <c r="Y105" s="25"/>
      <c r="Z105" s="25"/>
    </row>
    <row r="106" ht="12.7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2.75" customHeight="1">
      <c r="A107" s="25"/>
      <c r="B107" s="25"/>
      <c r="C107" s="25"/>
      <c r="D107" s="25"/>
      <c r="E107" s="64"/>
      <c r="F107" s="64"/>
      <c r="G107" s="25"/>
      <c r="H107" s="25"/>
      <c r="I107" s="25"/>
      <c r="J107" s="25"/>
      <c r="K107" s="25"/>
      <c r="L107" s="25"/>
      <c r="M107" s="25"/>
      <c r="N107" s="25"/>
      <c r="O107" s="25"/>
      <c r="P107" s="25"/>
      <c r="Q107" s="25"/>
      <c r="R107" s="25"/>
      <c r="S107" s="25"/>
      <c r="T107" s="25"/>
      <c r="U107" s="25"/>
      <c r="V107" s="25"/>
      <c r="W107" s="25"/>
      <c r="X107" s="25"/>
      <c r="Y107" s="25"/>
      <c r="Z107" s="25"/>
    </row>
    <row r="108" ht="12.7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2.7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2.7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2.7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2.7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2.7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2.7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2.7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2.7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2.7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2.7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2.7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2.7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2.7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2.7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2.7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2.7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2.7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2.7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2.7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2.7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2.7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2.7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2.7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2.7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2.7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2.7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2.7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2.7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2.7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2.7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2.7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2.7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2.7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2.7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2.7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2.7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2.7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2.7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2.7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2.7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2.7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2.7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2.7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2.7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2.7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2.7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2.7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2.7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2.7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2.7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2.7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2.7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2.7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2.7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2.7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2.7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2.7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2.7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2.7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2.7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2.7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2.7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2.7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2.7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2.7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2.7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2.7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2.7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2.7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2.7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2.7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2.7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2.7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2.7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2.7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2.7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2.7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2.7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2.7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2.7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2.7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2.7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2.7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2.7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2.7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2.7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2.7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2.7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2.7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2.7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2.7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2.7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2.7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2.7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2.7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2.7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2.7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2.7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2.7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2.7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2.7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2.7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2.7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2.7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2.7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2.7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2.7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2.7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2.7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2.7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2.7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2.7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2.7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2.7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2.7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2.7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2.7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2.7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2.7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2.7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2.7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2.7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2.7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2.7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2.7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2.7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2.7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2.7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2.7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2.7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2.7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2.7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2.7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2.7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2.7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2.7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2.7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2.7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2.7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2.7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2.7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2.7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2.7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2.7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2.7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2.7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2.7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2.7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2.7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2.7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2.7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2.7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2.7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2.7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2.7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2.7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2.7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2.7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2.7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2.7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2.7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2.7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2.7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2.7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2.7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2.7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2.7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2.7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2.7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2.7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2.7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2.7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2.7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2.7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2.7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2.7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2.7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2.7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2.7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2.7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2.7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2.7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2.7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2.7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2.7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2.7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2.7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2.7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2.7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2.7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2.7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2.7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2.7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2.7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2.7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2.7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2.7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2.7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2.7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2.7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2.7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2.7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2.7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2.7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2.7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2.7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2.7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2.7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2.7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2.7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2.7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2.7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2.7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2.7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2.7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2.7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2.7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2.7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2.7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2.7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2.7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2.7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2.7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2.7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2.7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2.7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2.7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2.7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2.7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2.7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2.7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2.7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2.7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2.7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2.7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2.7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2.7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2.7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2.7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2.7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2.7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2.7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2.7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2.7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2.7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2.7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2.7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2.7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2.7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2.7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2.7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2.7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2.7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2.7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2.7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2.7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2.7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2.7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2.7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2.7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2.7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2.7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2.7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2.7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2.7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2.7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2.7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2.7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2.7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2.7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2.7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2.7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2.7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2.7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2.7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2.7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2.7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2.7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2.7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2.7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2.7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2.7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2.7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2.7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2.7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2.7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2.7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2.7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2.7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2.7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2.7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2.7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2.7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2.7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2.7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2.7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2.7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2.7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2.7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2.7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2.7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2.7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2.7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2.7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2.7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2.7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2.7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2.7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2.7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2.7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2.7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2.7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2.7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2.7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2.7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2.7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2.7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2.7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2.7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2.7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2.7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2.7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2.7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2.7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2.7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2.7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2.7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2.7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2.7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2.7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2.7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2.7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2.7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2.7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2.7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2.7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2.7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2.7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2.7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2.7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2.7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2.7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2.7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2.7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2.7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2.7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2.7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2.7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2.7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2.7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2.7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2.7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2.7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2.7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2.7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2.7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2.7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2.7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2.7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2.7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2.7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2.7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2.7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2.7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2.7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2.7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2.7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2.7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2.7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2.7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2.7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2.7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2.7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2.7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2.7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2.7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2.7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2.7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2.7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2.7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2.7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2.7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2.7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2.7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2.7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2.7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2.7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2.7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2.7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2.7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2.7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2.7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2.7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2.7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2.7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2.7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2.7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2.7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2.7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2.7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2.7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2.7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2.7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2.7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2.7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2.7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2.7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2.7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2.7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2.7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2.7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2.7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2.7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2.7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2.7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2.7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2.7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2.7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2.7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2.7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2.7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2.7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2.7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2.7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2.7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2.7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2.7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2.7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2.7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2.7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2.7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2.7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2.7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2.7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2.7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2.7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2.7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2.7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2.7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2.7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2.7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2.7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2.7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2.7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2.7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2.7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2.7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2.7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2.7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2.7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2.7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2.7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2.7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2.7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2.7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2.7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2.7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2.7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2.7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2.7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2.7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2.7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2.7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2.7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2.7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2.7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2.7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2.7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2.7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2.7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2.7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2.7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2.7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2.7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2.7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2.7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2.7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2.7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2.7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2.7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2.7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2.7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2.7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2.7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2.7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2.7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2.7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2.7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2.7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2.7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2.7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2.7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2.7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2.7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2.7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2.7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2.7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2.7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2.7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2.7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2.7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2.7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2.7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2.7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2.7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2.7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2.7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2.7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2.7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2.7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2.7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2.7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2.7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2.7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2.7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2.7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2.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2.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2.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2.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2.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2.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2.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2.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2.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2.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2.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2.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2.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2.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2.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2.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2.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2.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2.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2.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2.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2.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2.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2.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2.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2.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2.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2.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2.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2.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2.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2.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2.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2.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2.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2.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2.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2.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2.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2.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2.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2.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2.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2.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2.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2.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2.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2.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2.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2.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2.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2.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2.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2.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2.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2.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2.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2.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2.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2.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2.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2.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2.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2.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2.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2.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2.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2.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2.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2.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2.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2.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2.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2.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2.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2.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2.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2.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2.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2.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2.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2.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2.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2.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2.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2.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2.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2.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2.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2.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2.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2.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2.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2.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2.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2.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2.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2.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2.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2.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2.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2.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2.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2.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2.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2.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2.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2.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2.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2.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2.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2.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2.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2.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2.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2.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2.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2.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2.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2.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2.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2.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2.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2.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2.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2.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2.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2.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2.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2.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2.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2.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2.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2.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2.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2.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2.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2.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2.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2.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2.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2.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2.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2.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2.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2.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2.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2.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2.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2.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2.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2.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2.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2.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2.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2.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2.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2.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2.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2.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2.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2.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2.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2.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2.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2.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2.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2.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2.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2.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2.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2.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2.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2.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2.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2.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2.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2.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2.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2.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2.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2.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2.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2.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2.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2.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2.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2.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2.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2.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2.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2.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2.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2.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2.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2.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2.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2.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2.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2.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2.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2.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2.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2.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2.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2.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2.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2.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2.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2.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2.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2.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2.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2.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2.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2.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2.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2.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2.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2.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2.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2.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2.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2.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2.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2.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2.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2.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2.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2.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2.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2.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2.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2.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2.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2.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2.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2.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2.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2.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2.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2.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2.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2.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2.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2.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2.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2.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2.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2.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2.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2.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2.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2.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2.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2.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2.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2.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2.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2.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2.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2.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2.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2.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2.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2.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2.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2.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2.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2.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2.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2.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2.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2.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2.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2.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2.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2.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2.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2.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2.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2.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2.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2.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2.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2.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2.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2.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2.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2.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2.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2.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2.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2.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2.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2.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2.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2.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2.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2.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2.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2.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2.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2.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2.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2.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2.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2.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2.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2.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2.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2.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2.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2.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2.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2.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2.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2.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2.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2.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2.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2.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2.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2.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2.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2.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2.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2.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2.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2.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2.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2.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2.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2.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2.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2.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2.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2.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2.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2.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2.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2.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2.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2.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2.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2.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2.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2.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2.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2.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2.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2.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2.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2.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2.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2.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2.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2.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2.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2.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2.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2.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2.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2.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2.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2.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2.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2.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2.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2.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2.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2.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2.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2.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2.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2.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ht="12.75" customHeight="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ht="12.75" customHeight="1">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row r="1003" ht="12.75" customHeight="1">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sheetData>
  <mergeCells count="20">
    <mergeCell ref="A1:C3"/>
    <mergeCell ref="A5:F5"/>
    <mergeCell ref="H6:L6"/>
    <mergeCell ref="A16:F16"/>
    <mergeCell ref="J17:N17"/>
    <mergeCell ref="A25:F25"/>
    <mergeCell ref="I26:M26"/>
    <mergeCell ref="A61:F61"/>
    <mergeCell ref="A75:F75"/>
    <mergeCell ref="D77:H77"/>
    <mergeCell ref="A86:F86"/>
    <mergeCell ref="C95:D95"/>
    <mergeCell ref="E95:F95"/>
    <mergeCell ref="A34:F34"/>
    <mergeCell ref="I35:M35"/>
    <mergeCell ref="A43:F43"/>
    <mergeCell ref="I44:M44"/>
    <mergeCell ref="A52:F52"/>
    <mergeCell ref="I53:M53"/>
    <mergeCell ref="H62:L62"/>
  </mergeCells>
  <conditionalFormatting sqref="C98">
    <cfRule type="cellIs" dxfId="0" priority="1" operator="greaterThan">
      <formula>1</formula>
    </cfRule>
  </conditionalFormatting>
  <conditionalFormatting sqref="D19:D22">
    <cfRule type="cellIs" dxfId="0" priority="2" operator="lessThan">
      <formula>80</formula>
    </cfRule>
  </conditionalFormatting>
  <conditionalFormatting sqref="D28:D31">
    <cfRule type="cellIs" dxfId="0" priority="3" operator="lessThan">
      <formula>36</formula>
    </cfRule>
  </conditionalFormatting>
  <conditionalFormatting sqref="E28:E31">
    <cfRule type="cellIs" dxfId="0" priority="4" operator="greaterThan">
      <formula>600000</formula>
    </cfRule>
  </conditionalFormatting>
  <conditionalFormatting sqref="F19:F22">
    <cfRule type="cellIs" dxfId="0" priority="5" operator="greaterThan">
      <formula>2700000</formula>
    </cfRule>
  </conditionalFormatting>
  <conditionalFormatting sqref="F28:F31">
    <cfRule type="cellIs" dxfId="0" priority="6" operator="lessThan">
      <formula>E28</formula>
    </cfRule>
  </conditionalFormatting>
  <conditionalFormatting sqref="H91">
    <cfRule type="cellIs" dxfId="0" priority="7" operator="equal">
      <formula>"Supera el 20% máximo permitido"</formula>
    </cfRule>
  </conditionalFormatting>
  <conditionalFormatting sqref="H93">
    <cfRule type="cellIs" dxfId="0" priority="8" operator="equal">
      <formula>"Supera el 15% máximo permitido"</formula>
    </cfRule>
  </conditionalFormatting>
  <conditionalFormatting sqref="I59">
    <cfRule type="cellIs" dxfId="0" priority="9" operator="greaterThan">
      <formula>$B$94*20%</formula>
    </cfRule>
  </conditionalFormatting>
  <conditionalFormatting sqref="I60">
    <cfRule type="cellIs" dxfId="0" priority="10" operator="equal">
      <formula>"Supera el 20% máximo permitido"</formula>
    </cfRule>
  </conditionalFormatting>
  <conditionalFormatting sqref="J79:J84">
    <cfRule type="cellIs" dxfId="0" priority="11" operator="equal">
      <formula>"Error"</formula>
    </cfRule>
  </conditionalFormatting>
  <conditionalFormatting sqref="K79:K84">
    <cfRule type="cellIs" dxfId="0" priority="12" operator="greaterThan">
      <formula>0.15</formula>
    </cfRule>
  </conditionalFormatting>
  <conditionalFormatting sqref="N8:N14">
    <cfRule type="cellIs" dxfId="0" priority="13" operator="equal">
      <formula>"Error"</formula>
    </cfRule>
  </conditionalFormatting>
  <conditionalFormatting sqref="N64:N73 E98:E101">
    <cfRule type="cellIs" dxfId="0" priority="14" operator="equal">
      <formula>"Error"</formula>
    </cfRule>
  </conditionalFormatting>
  <conditionalFormatting sqref="O28:O32">
    <cfRule type="cellIs" dxfId="0" priority="15" operator="equal">
      <formula>"Error"</formula>
    </cfRule>
  </conditionalFormatting>
  <conditionalFormatting sqref="O37:O41">
    <cfRule type="cellIs" dxfId="0" priority="16" operator="equal">
      <formula>"Error"</formula>
    </cfRule>
  </conditionalFormatting>
  <conditionalFormatting sqref="O46:O50">
    <cfRule type="cellIs" dxfId="0" priority="17" operator="equal">
      <formula>"Error"</formula>
    </cfRule>
  </conditionalFormatting>
  <conditionalFormatting sqref="O55:O59">
    <cfRule type="cellIs" dxfId="0" priority="18" operator="equal">
      <formula>"Error"</formula>
    </cfRule>
  </conditionalFormatting>
  <conditionalFormatting sqref="P19:P23">
    <cfRule type="cellIs" dxfId="0" priority="19" operator="equal">
      <formula>"Error"</formula>
    </cfRule>
  </conditionalFormatting>
  <conditionalFormatting sqref="Q19:Q22">
    <cfRule type="cellIs" dxfId="0" priority="20" operator="greaterThan">
      <formula>2700000</formula>
    </cfRule>
  </conditionalFormatting>
  <printOptions/>
  <pageMargins bottom="0.75" footer="0.0" header="0.0" left="0.7" right="0.7" top="0.75"/>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3" width="14.75"/>
    <col customWidth="1" min="4" max="4" width="101.38"/>
    <col customWidth="1" min="5" max="26" width="11.75"/>
  </cols>
  <sheetData>
    <row r="1" ht="12.75" customHeight="1">
      <c r="A1" s="65" t="s">
        <v>131</v>
      </c>
      <c r="E1" s="66"/>
      <c r="F1" s="66"/>
      <c r="G1" s="66"/>
      <c r="H1" s="66"/>
      <c r="I1" s="66"/>
      <c r="J1" s="66"/>
      <c r="K1" s="66"/>
      <c r="L1" s="66"/>
      <c r="M1" s="66"/>
      <c r="N1" s="66"/>
      <c r="O1" s="66"/>
      <c r="P1" s="66"/>
      <c r="Q1" s="66"/>
      <c r="R1" s="66"/>
      <c r="S1" s="66"/>
      <c r="T1" s="66"/>
      <c r="U1" s="66"/>
      <c r="V1" s="66"/>
      <c r="W1" s="66"/>
      <c r="X1" s="66"/>
      <c r="Y1" s="66"/>
      <c r="Z1" s="66"/>
    </row>
    <row r="2" ht="12.75" customHeight="1">
      <c r="A2" s="66"/>
      <c r="B2" s="66"/>
      <c r="C2" s="66"/>
      <c r="D2" s="66"/>
      <c r="E2" s="66"/>
      <c r="F2" s="66"/>
      <c r="G2" s="66"/>
      <c r="H2" s="66"/>
      <c r="I2" s="66"/>
      <c r="J2" s="66"/>
      <c r="K2" s="66"/>
      <c r="L2" s="66"/>
      <c r="M2" s="66"/>
      <c r="N2" s="66"/>
      <c r="O2" s="66"/>
      <c r="P2" s="66"/>
      <c r="Q2" s="66"/>
      <c r="R2" s="66"/>
      <c r="S2" s="66"/>
      <c r="T2" s="66"/>
      <c r="U2" s="66"/>
      <c r="V2" s="66"/>
      <c r="W2" s="66"/>
      <c r="X2" s="66"/>
      <c r="Y2" s="66"/>
      <c r="Z2" s="66"/>
    </row>
    <row r="3" ht="31.5" customHeight="1">
      <c r="A3" s="67" t="s">
        <v>132</v>
      </c>
      <c r="B3" s="28"/>
      <c r="C3" s="28"/>
      <c r="D3" s="29"/>
      <c r="E3" s="66"/>
      <c r="F3" s="66"/>
      <c r="G3" s="66"/>
      <c r="H3" s="66"/>
      <c r="I3" s="66"/>
      <c r="J3" s="66"/>
      <c r="K3" s="66"/>
      <c r="L3" s="66"/>
      <c r="M3" s="66"/>
      <c r="N3" s="66"/>
      <c r="O3" s="66"/>
      <c r="P3" s="66"/>
      <c r="Q3" s="66"/>
      <c r="R3" s="66"/>
      <c r="S3" s="66"/>
      <c r="T3" s="66"/>
      <c r="U3" s="66"/>
      <c r="V3" s="66"/>
      <c r="W3" s="66"/>
      <c r="X3" s="66"/>
      <c r="Y3" s="66"/>
      <c r="Z3" s="66"/>
    </row>
    <row r="4" ht="12.75" customHeight="1">
      <c r="A4" s="66"/>
      <c r="B4" s="66"/>
      <c r="C4" s="66"/>
      <c r="D4" s="66"/>
      <c r="E4" s="66"/>
      <c r="F4" s="66"/>
      <c r="G4" s="66"/>
      <c r="H4" s="66"/>
      <c r="I4" s="66"/>
      <c r="J4" s="66"/>
      <c r="K4" s="66"/>
      <c r="L4" s="66"/>
      <c r="M4" s="66"/>
      <c r="N4" s="66"/>
      <c r="O4" s="66"/>
      <c r="P4" s="66"/>
      <c r="Q4" s="66"/>
      <c r="R4" s="66"/>
      <c r="S4" s="66"/>
      <c r="T4" s="66"/>
      <c r="U4" s="66"/>
      <c r="V4" s="66"/>
      <c r="W4" s="66"/>
      <c r="X4" s="66"/>
      <c r="Y4" s="66"/>
      <c r="Z4" s="66"/>
    </row>
    <row r="5" ht="12.75" customHeight="1">
      <c r="A5" s="68" t="s">
        <v>133</v>
      </c>
      <c r="B5" s="28"/>
      <c r="C5" s="28"/>
      <c r="D5" s="29"/>
      <c r="E5" s="66"/>
      <c r="F5" s="66"/>
      <c r="G5" s="66"/>
      <c r="H5" s="66"/>
      <c r="I5" s="66"/>
      <c r="J5" s="66"/>
      <c r="K5" s="66"/>
      <c r="L5" s="66"/>
      <c r="M5" s="66"/>
      <c r="N5" s="66"/>
      <c r="O5" s="66"/>
      <c r="P5" s="66"/>
      <c r="Q5" s="66"/>
      <c r="R5" s="66"/>
      <c r="S5" s="66"/>
      <c r="T5" s="66"/>
      <c r="U5" s="66"/>
      <c r="V5" s="66"/>
      <c r="W5" s="66"/>
      <c r="X5" s="66"/>
      <c r="Y5" s="66"/>
      <c r="Z5" s="66"/>
    </row>
    <row r="6" ht="12.75" customHeight="1">
      <c r="A6" s="69" t="s">
        <v>134</v>
      </c>
      <c r="B6" s="70" t="s">
        <v>135</v>
      </c>
      <c r="C6" s="66"/>
      <c r="D6" s="71"/>
      <c r="E6" s="66"/>
      <c r="F6" s="66"/>
      <c r="G6" s="66"/>
      <c r="H6" s="66"/>
      <c r="I6" s="66"/>
      <c r="J6" s="66"/>
      <c r="K6" s="66"/>
      <c r="L6" s="66"/>
      <c r="M6" s="66"/>
      <c r="N6" s="66"/>
      <c r="O6" s="66"/>
      <c r="P6" s="66"/>
      <c r="Q6" s="66"/>
      <c r="R6" s="66"/>
      <c r="S6" s="66"/>
      <c r="T6" s="66"/>
      <c r="U6" s="66"/>
      <c r="V6" s="66"/>
      <c r="W6" s="66"/>
      <c r="X6" s="66"/>
      <c r="Y6" s="66"/>
      <c r="Z6" s="66"/>
    </row>
    <row r="7" ht="12.75" customHeight="1">
      <c r="A7" s="69" t="s">
        <v>136</v>
      </c>
      <c r="B7" s="70" t="s">
        <v>34</v>
      </c>
      <c r="C7" s="66"/>
      <c r="D7" s="71"/>
      <c r="E7" s="66"/>
      <c r="F7" s="66"/>
      <c r="G7" s="66"/>
      <c r="H7" s="66"/>
      <c r="I7" s="66"/>
      <c r="J7" s="66"/>
      <c r="K7" s="66"/>
      <c r="L7" s="66"/>
      <c r="M7" s="66"/>
      <c r="N7" s="66"/>
      <c r="O7" s="66"/>
      <c r="P7" s="66"/>
      <c r="Q7" s="66"/>
      <c r="R7" s="66"/>
      <c r="S7" s="66"/>
      <c r="T7" s="66"/>
      <c r="U7" s="66"/>
      <c r="V7" s="66"/>
      <c r="W7" s="66"/>
      <c r="X7" s="66"/>
      <c r="Y7" s="66"/>
      <c r="Z7" s="66"/>
    </row>
    <row r="8" ht="12.75" customHeight="1">
      <c r="A8" s="69" t="s">
        <v>137</v>
      </c>
      <c r="B8" s="70" t="s">
        <v>138</v>
      </c>
      <c r="C8" s="66"/>
      <c r="D8" s="71"/>
      <c r="E8" s="66"/>
      <c r="F8" s="66"/>
      <c r="G8" s="66"/>
      <c r="H8" s="66"/>
      <c r="I8" s="66"/>
      <c r="J8" s="66"/>
      <c r="K8" s="66"/>
      <c r="L8" s="66"/>
      <c r="M8" s="66"/>
      <c r="N8" s="66"/>
      <c r="O8" s="66"/>
      <c r="P8" s="66"/>
      <c r="Q8" s="66"/>
      <c r="R8" s="66"/>
      <c r="S8" s="66"/>
      <c r="T8" s="66"/>
      <c r="U8" s="66"/>
      <c r="V8" s="66"/>
      <c r="W8" s="66"/>
      <c r="X8" s="66"/>
      <c r="Y8" s="66"/>
      <c r="Z8" s="66"/>
    </row>
    <row r="9" ht="12.75" customHeight="1">
      <c r="A9" s="72"/>
      <c r="B9" s="66"/>
      <c r="C9" s="66"/>
      <c r="D9" s="71"/>
      <c r="E9" s="66"/>
      <c r="F9" s="66"/>
      <c r="G9" s="66"/>
      <c r="H9" s="66"/>
      <c r="I9" s="66"/>
      <c r="J9" s="66"/>
      <c r="K9" s="66"/>
      <c r="L9" s="66"/>
      <c r="M9" s="66"/>
      <c r="N9" s="66"/>
      <c r="O9" s="66"/>
      <c r="P9" s="66"/>
      <c r="Q9" s="66"/>
      <c r="R9" s="66"/>
      <c r="S9" s="66"/>
      <c r="T9" s="66"/>
      <c r="U9" s="66"/>
      <c r="V9" s="66"/>
      <c r="W9" s="66"/>
      <c r="X9" s="66"/>
      <c r="Y9" s="66"/>
      <c r="Z9" s="66"/>
    </row>
    <row r="10" ht="12.75" customHeight="1">
      <c r="A10" s="73" t="s">
        <v>139</v>
      </c>
      <c r="B10" s="73" t="s">
        <v>140</v>
      </c>
      <c r="C10" s="73" t="s">
        <v>141</v>
      </c>
      <c r="D10" s="73" t="s">
        <v>142</v>
      </c>
      <c r="E10" s="66"/>
      <c r="F10" s="66"/>
      <c r="G10" s="66"/>
      <c r="H10" s="66"/>
      <c r="I10" s="66"/>
      <c r="J10" s="66"/>
      <c r="K10" s="66"/>
      <c r="L10" s="66"/>
      <c r="M10" s="66"/>
      <c r="N10" s="66"/>
      <c r="O10" s="66"/>
      <c r="P10" s="66"/>
      <c r="Q10" s="66"/>
      <c r="R10" s="66"/>
      <c r="S10" s="66"/>
      <c r="T10" s="66"/>
      <c r="U10" s="66"/>
      <c r="V10" s="66"/>
      <c r="W10" s="66"/>
      <c r="X10" s="66"/>
      <c r="Y10" s="66"/>
      <c r="Z10" s="66"/>
    </row>
    <row r="11" ht="12.75" customHeight="1">
      <c r="A11" s="74" t="s">
        <v>143</v>
      </c>
      <c r="B11" s="75"/>
      <c r="C11" s="76"/>
      <c r="D11" s="77"/>
      <c r="E11" s="66"/>
      <c r="F11" s="66"/>
      <c r="G11" s="66"/>
      <c r="H11" s="66"/>
      <c r="I11" s="66"/>
      <c r="J11" s="66"/>
      <c r="K11" s="66"/>
      <c r="L11" s="66"/>
      <c r="M11" s="66"/>
      <c r="N11" s="66"/>
      <c r="O11" s="66"/>
      <c r="P11" s="66"/>
      <c r="Q11" s="66"/>
      <c r="R11" s="66"/>
      <c r="S11" s="66"/>
      <c r="T11" s="66"/>
      <c r="U11" s="66"/>
      <c r="V11" s="66"/>
      <c r="W11" s="66"/>
      <c r="X11" s="66"/>
      <c r="Y11" s="66"/>
      <c r="Z11" s="66"/>
    </row>
    <row r="12" ht="12.75" customHeight="1">
      <c r="A12" s="78" t="s">
        <v>79</v>
      </c>
      <c r="B12" s="79"/>
      <c r="C12" s="80"/>
      <c r="D12" s="81"/>
      <c r="E12" s="66"/>
      <c r="F12" s="66"/>
      <c r="G12" s="66"/>
      <c r="H12" s="66"/>
      <c r="I12" s="66"/>
      <c r="J12" s="66"/>
      <c r="K12" s="66"/>
      <c r="L12" s="66"/>
      <c r="M12" s="66"/>
      <c r="N12" s="66"/>
      <c r="O12" s="66"/>
      <c r="P12" s="66"/>
      <c r="Q12" s="66"/>
      <c r="R12" s="66"/>
      <c r="S12" s="66"/>
      <c r="T12" s="66"/>
      <c r="U12" s="66"/>
      <c r="V12" s="66"/>
      <c r="W12" s="66"/>
      <c r="X12" s="66"/>
      <c r="Y12" s="66"/>
      <c r="Z12" s="66"/>
    </row>
    <row r="13" ht="12.75" customHeight="1">
      <c r="A13" s="78" t="s">
        <v>121</v>
      </c>
      <c r="B13" s="79"/>
      <c r="C13" s="80"/>
      <c r="D13" s="81"/>
      <c r="E13" s="66"/>
      <c r="F13" s="66"/>
      <c r="G13" s="66"/>
      <c r="H13" s="66"/>
      <c r="I13" s="66"/>
      <c r="J13" s="66"/>
      <c r="K13" s="66"/>
      <c r="L13" s="66"/>
      <c r="M13" s="66"/>
      <c r="N13" s="66"/>
      <c r="O13" s="66"/>
      <c r="P13" s="66"/>
      <c r="Q13" s="66"/>
      <c r="R13" s="66"/>
      <c r="S13" s="66"/>
      <c r="T13" s="66"/>
      <c r="U13" s="66"/>
      <c r="V13" s="66"/>
      <c r="W13" s="66"/>
      <c r="X13" s="66"/>
      <c r="Y13" s="66"/>
      <c r="Z13" s="66"/>
    </row>
    <row r="14" ht="12.75" customHeight="1">
      <c r="A14" s="78" t="s">
        <v>95</v>
      </c>
      <c r="B14" s="79"/>
      <c r="C14" s="80"/>
      <c r="D14" s="81"/>
      <c r="E14" s="66"/>
      <c r="F14" s="66"/>
      <c r="G14" s="66"/>
      <c r="H14" s="66"/>
      <c r="I14" s="66"/>
      <c r="J14" s="66"/>
      <c r="K14" s="66"/>
      <c r="L14" s="66"/>
      <c r="M14" s="66"/>
      <c r="N14" s="66"/>
      <c r="O14" s="66"/>
      <c r="P14" s="66"/>
      <c r="Q14" s="66"/>
      <c r="R14" s="66"/>
      <c r="S14" s="66"/>
      <c r="T14" s="66"/>
      <c r="U14" s="66"/>
      <c r="V14" s="66"/>
      <c r="W14" s="66"/>
      <c r="X14" s="66"/>
      <c r="Y14" s="66"/>
      <c r="Z14" s="66"/>
    </row>
    <row r="15" ht="12.75" customHeight="1">
      <c r="A15" s="78" t="s">
        <v>144</v>
      </c>
      <c r="B15" s="82"/>
      <c r="C15" s="82"/>
      <c r="D15" s="81"/>
      <c r="E15" s="66"/>
      <c r="F15" s="66"/>
      <c r="G15" s="66"/>
      <c r="H15" s="66"/>
      <c r="I15" s="66"/>
      <c r="J15" s="66"/>
      <c r="K15" s="66"/>
      <c r="L15" s="66"/>
      <c r="M15" s="66"/>
      <c r="N15" s="66"/>
      <c r="O15" s="66"/>
      <c r="P15" s="66"/>
      <c r="Q15" s="66"/>
      <c r="R15" s="66"/>
      <c r="S15" s="66"/>
      <c r="T15" s="66"/>
      <c r="U15" s="66"/>
      <c r="V15" s="66"/>
      <c r="W15" s="66"/>
      <c r="X15" s="66"/>
      <c r="Y15" s="66"/>
      <c r="Z15" s="66"/>
    </row>
    <row r="16" ht="12.75" customHeight="1">
      <c r="A16" s="83" t="s">
        <v>145</v>
      </c>
      <c r="B16" s="84">
        <f t="shared" ref="B16:C16" si="1">SUM(B11:B15)</f>
        <v>0</v>
      </c>
      <c r="C16" s="85">
        <f t="shared" si="1"/>
        <v>0</v>
      </c>
      <c r="D16" s="86" t="str">
        <f>IF(B16=C16,"PRESUPUESTO VALIDADO","CORREGIR DIFERENCIA")</f>
        <v>PRESUPUESTO VALIDADO</v>
      </c>
      <c r="E16" s="66"/>
      <c r="F16" s="66"/>
      <c r="G16" s="66"/>
      <c r="H16" s="66"/>
      <c r="I16" s="66"/>
      <c r="J16" s="66"/>
      <c r="K16" s="66"/>
      <c r="L16" s="66"/>
      <c r="M16" s="66"/>
      <c r="N16" s="66"/>
      <c r="O16" s="66"/>
      <c r="P16" s="66"/>
      <c r="Q16" s="66"/>
      <c r="R16" s="66"/>
      <c r="S16" s="66"/>
      <c r="T16" s="66"/>
      <c r="U16" s="66"/>
      <c r="V16" s="66"/>
      <c r="W16" s="66"/>
      <c r="X16" s="66"/>
      <c r="Y16" s="66"/>
      <c r="Z16" s="66"/>
    </row>
    <row r="17" ht="12.75" customHeight="1">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row>
    <row r="18" ht="12.75" customHeight="1">
      <c r="A18" s="68" t="s">
        <v>146</v>
      </c>
      <c r="B18" s="28"/>
      <c r="C18" s="28"/>
      <c r="D18" s="29"/>
      <c r="E18" s="66"/>
      <c r="F18" s="66"/>
      <c r="G18" s="66"/>
      <c r="H18" s="66"/>
      <c r="I18" s="66"/>
      <c r="J18" s="66"/>
      <c r="K18" s="66"/>
      <c r="L18" s="66"/>
      <c r="M18" s="66"/>
      <c r="N18" s="66"/>
      <c r="O18" s="66"/>
      <c r="P18" s="66"/>
      <c r="Q18" s="66"/>
      <c r="R18" s="66"/>
      <c r="S18" s="66"/>
      <c r="T18" s="66"/>
      <c r="U18" s="66"/>
      <c r="V18" s="66"/>
      <c r="W18" s="66"/>
      <c r="X18" s="66"/>
      <c r="Y18" s="66"/>
      <c r="Z18" s="66"/>
    </row>
    <row r="19" ht="12.75" customHeight="1">
      <c r="A19" s="69" t="s">
        <v>134</v>
      </c>
      <c r="B19" s="70" t="s">
        <v>135</v>
      </c>
      <c r="C19" s="66"/>
      <c r="D19" s="71"/>
      <c r="E19" s="66"/>
      <c r="F19" s="66"/>
      <c r="G19" s="66"/>
      <c r="H19" s="66"/>
      <c r="I19" s="66"/>
      <c r="J19" s="66"/>
      <c r="K19" s="66"/>
      <c r="L19" s="66"/>
      <c r="M19" s="66"/>
      <c r="N19" s="66"/>
      <c r="O19" s="66"/>
      <c r="P19" s="66"/>
      <c r="Q19" s="66"/>
      <c r="R19" s="66"/>
      <c r="S19" s="66"/>
      <c r="T19" s="66"/>
      <c r="U19" s="66"/>
      <c r="V19" s="66"/>
      <c r="W19" s="66"/>
      <c r="X19" s="66"/>
      <c r="Y19" s="66"/>
      <c r="Z19" s="66"/>
    </row>
    <row r="20" ht="12.75" customHeight="1">
      <c r="A20" s="69" t="s">
        <v>136</v>
      </c>
      <c r="B20" s="70" t="s">
        <v>34</v>
      </c>
      <c r="C20" s="66"/>
      <c r="D20" s="71"/>
      <c r="E20" s="66"/>
      <c r="F20" s="66"/>
      <c r="G20" s="66"/>
      <c r="H20" s="66"/>
      <c r="I20" s="66"/>
      <c r="J20" s="66"/>
      <c r="K20" s="66"/>
      <c r="L20" s="66"/>
      <c r="M20" s="66"/>
      <c r="N20" s="66"/>
      <c r="O20" s="66"/>
      <c r="P20" s="66"/>
      <c r="Q20" s="66"/>
      <c r="R20" s="66"/>
      <c r="S20" s="66"/>
      <c r="T20" s="66"/>
      <c r="U20" s="66"/>
      <c r="V20" s="66"/>
      <c r="W20" s="66"/>
      <c r="X20" s="66"/>
      <c r="Y20" s="66"/>
      <c r="Z20" s="66"/>
    </row>
    <row r="21" ht="12.75" customHeight="1">
      <c r="A21" s="69" t="s">
        <v>137</v>
      </c>
      <c r="B21" s="70" t="s">
        <v>138</v>
      </c>
      <c r="C21" s="66"/>
      <c r="D21" s="71"/>
      <c r="E21" s="66"/>
      <c r="F21" s="66"/>
      <c r="G21" s="66"/>
      <c r="H21" s="66"/>
      <c r="I21" s="66"/>
      <c r="J21" s="66"/>
      <c r="K21" s="66"/>
      <c r="L21" s="66"/>
      <c r="M21" s="66"/>
      <c r="N21" s="66"/>
      <c r="O21" s="66"/>
      <c r="P21" s="66"/>
      <c r="Q21" s="66"/>
      <c r="R21" s="66"/>
      <c r="S21" s="66"/>
      <c r="T21" s="66"/>
      <c r="U21" s="66"/>
      <c r="V21" s="66"/>
      <c r="W21" s="66"/>
      <c r="X21" s="66"/>
      <c r="Y21" s="66"/>
      <c r="Z21" s="66"/>
    </row>
    <row r="22" ht="12.75" customHeight="1">
      <c r="A22" s="72"/>
      <c r="B22" s="66"/>
      <c r="C22" s="66"/>
      <c r="D22" s="71"/>
      <c r="E22" s="66"/>
      <c r="F22" s="66"/>
      <c r="G22" s="66"/>
      <c r="H22" s="66"/>
      <c r="I22" s="66"/>
      <c r="J22" s="66"/>
      <c r="K22" s="66"/>
      <c r="L22" s="66"/>
      <c r="M22" s="66"/>
      <c r="N22" s="66"/>
      <c r="O22" s="66"/>
      <c r="P22" s="66"/>
      <c r="Q22" s="66"/>
      <c r="R22" s="66"/>
      <c r="S22" s="66"/>
      <c r="T22" s="66"/>
      <c r="U22" s="66"/>
      <c r="V22" s="66"/>
      <c r="W22" s="66"/>
      <c r="X22" s="66"/>
      <c r="Y22" s="66"/>
      <c r="Z22" s="66"/>
    </row>
    <row r="23" ht="12.75" customHeight="1">
      <c r="A23" s="73" t="s">
        <v>139</v>
      </c>
      <c r="B23" s="73" t="s">
        <v>140</v>
      </c>
      <c r="C23" s="73" t="s">
        <v>141</v>
      </c>
      <c r="D23" s="73" t="s">
        <v>147</v>
      </c>
      <c r="E23" s="66"/>
      <c r="F23" s="66"/>
      <c r="G23" s="66"/>
      <c r="H23" s="66"/>
      <c r="I23" s="66"/>
      <c r="J23" s="66"/>
      <c r="K23" s="66"/>
      <c r="L23" s="66"/>
      <c r="M23" s="66"/>
      <c r="N23" s="66"/>
      <c r="O23" s="66"/>
      <c r="P23" s="66"/>
      <c r="Q23" s="66"/>
      <c r="R23" s="66"/>
      <c r="S23" s="66"/>
      <c r="T23" s="66"/>
      <c r="U23" s="66"/>
      <c r="V23" s="66"/>
      <c r="W23" s="66"/>
      <c r="X23" s="66"/>
      <c r="Y23" s="66"/>
      <c r="Z23" s="66"/>
    </row>
    <row r="24" ht="12.75" customHeight="1">
      <c r="A24" s="74" t="s">
        <v>143</v>
      </c>
      <c r="B24" s="75">
        <v>0.0</v>
      </c>
      <c r="C24" s="76">
        <v>0.0</v>
      </c>
      <c r="D24" s="77"/>
      <c r="E24" s="66"/>
      <c r="F24" s="66"/>
      <c r="G24" s="66"/>
      <c r="H24" s="66"/>
      <c r="I24" s="66"/>
      <c r="J24" s="66"/>
      <c r="K24" s="66"/>
      <c r="L24" s="66"/>
      <c r="M24" s="66"/>
      <c r="N24" s="66"/>
      <c r="O24" s="66"/>
      <c r="P24" s="66"/>
      <c r="Q24" s="66"/>
      <c r="R24" s="66"/>
      <c r="S24" s="66"/>
      <c r="T24" s="66"/>
      <c r="U24" s="66"/>
      <c r="V24" s="66"/>
      <c r="W24" s="66"/>
      <c r="X24" s="66"/>
      <c r="Y24" s="66"/>
      <c r="Z24" s="66"/>
    </row>
    <row r="25" ht="12.75" customHeight="1">
      <c r="A25" s="78" t="s">
        <v>79</v>
      </c>
      <c r="B25" s="79">
        <v>0.0</v>
      </c>
      <c r="C25" s="80">
        <v>0.0</v>
      </c>
      <c r="D25" s="81"/>
      <c r="E25" s="66"/>
      <c r="F25" s="66"/>
      <c r="G25" s="66"/>
      <c r="H25" s="66"/>
      <c r="I25" s="66"/>
      <c r="J25" s="66"/>
      <c r="K25" s="66"/>
      <c r="L25" s="66"/>
      <c r="M25" s="66"/>
      <c r="N25" s="66"/>
      <c r="O25" s="66"/>
      <c r="P25" s="66"/>
      <c r="Q25" s="66"/>
      <c r="R25" s="66"/>
      <c r="S25" s="66"/>
      <c r="T25" s="66"/>
      <c r="U25" s="66"/>
      <c r="V25" s="66"/>
      <c r="W25" s="66"/>
      <c r="X25" s="66"/>
      <c r="Y25" s="66"/>
      <c r="Z25" s="66"/>
    </row>
    <row r="26" ht="12.75" customHeight="1">
      <c r="A26" s="78" t="s">
        <v>121</v>
      </c>
      <c r="B26" s="79">
        <v>0.0</v>
      </c>
      <c r="C26" s="80">
        <v>0.0</v>
      </c>
      <c r="D26" s="81"/>
      <c r="E26" s="66"/>
      <c r="F26" s="66"/>
      <c r="G26" s="66"/>
      <c r="H26" s="66"/>
      <c r="I26" s="66"/>
      <c r="J26" s="66"/>
      <c r="K26" s="66"/>
      <c r="L26" s="66"/>
      <c r="M26" s="66"/>
      <c r="N26" s="66"/>
      <c r="O26" s="66"/>
      <c r="P26" s="66"/>
      <c r="Q26" s="66"/>
      <c r="R26" s="66"/>
      <c r="S26" s="66"/>
      <c r="T26" s="66"/>
      <c r="U26" s="66"/>
      <c r="V26" s="66"/>
      <c r="W26" s="66"/>
      <c r="X26" s="66"/>
      <c r="Y26" s="66"/>
      <c r="Z26" s="66"/>
    </row>
    <row r="27" ht="12.75" customHeight="1">
      <c r="A27" s="78" t="s">
        <v>95</v>
      </c>
      <c r="B27" s="79">
        <v>0.0</v>
      </c>
      <c r="C27" s="80">
        <v>0.0</v>
      </c>
      <c r="D27" s="81"/>
      <c r="E27" s="66"/>
      <c r="F27" s="66"/>
      <c r="G27" s="66"/>
      <c r="H27" s="66"/>
      <c r="I27" s="66"/>
      <c r="J27" s="66"/>
      <c r="K27" s="66"/>
      <c r="L27" s="66"/>
      <c r="M27" s="66"/>
      <c r="N27" s="66"/>
      <c r="O27" s="66"/>
      <c r="P27" s="66"/>
      <c r="Q27" s="66"/>
      <c r="R27" s="66"/>
      <c r="S27" s="66"/>
      <c r="T27" s="66"/>
      <c r="U27" s="66"/>
      <c r="V27" s="66"/>
      <c r="W27" s="66"/>
      <c r="X27" s="66"/>
      <c r="Y27" s="66"/>
      <c r="Z27" s="66"/>
    </row>
    <row r="28" ht="12.75" customHeight="1">
      <c r="A28" s="78" t="s">
        <v>144</v>
      </c>
      <c r="B28" s="82">
        <v>0.0</v>
      </c>
      <c r="C28" s="82">
        <v>0.0</v>
      </c>
      <c r="D28" s="81"/>
      <c r="E28" s="66"/>
      <c r="F28" s="66"/>
      <c r="G28" s="66"/>
      <c r="H28" s="66"/>
      <c r="I28" s="66"/>
      <c r="J28" s="66"/>
      <c r="K28" s="66"/>
      <c r="L28" s="66"/>
      <c r="M28" s="66"/>
      <c r="N28" s="66"/>
      <c r="O28" s="66"/>
      <c r="P28" s="66"/>
      <c r="Q28" s="66"/>
      <c r="R28" s="66"/>
      <c r="S28" s="66"/>
      <c r="T28" s="66"/>
      <c r="U28" s="66"/>
      <c r="V28" s="66"/>
      <c r="W28" s="66"/>
      <c r="X28" s="66"/>
      <c r="Y28" s="66"/>
      <c r="Z28" s="66"/>
    </row>
    <row r="29" ht="12.75" customHeight="1">
      <c r="A29" s="83" t="s">
        <v>145</v>
      </c>
      <c r="B29" s="84">
        <f t="shared" ref="B29:C29" si="2">SUM(B24:B28)</f>
        <v>0</v>
      </c>
      <c r="C29" s="85">
        <f t="shared" si="2"/>
        <v>0</v>
      </c>
      <c r="D29" s="86" t="str">
        <f>IF(B29=C29,"PRESUPUESTO VALIDADO","CORREGIR DIFERENCIA")</f>
        <v>PRESUPUESTO VALIDADO</v>
      </c>
      <c r="E29" s="66"/>
      <c r="F29" s="66"/>
      <c r="G29" s="66"/>
      <c r="H29" s="66"/>
      <c r="I29" s="66"/>
      <c r="J29" s="66"/>
      <c r="K29" s="66"/>
      <c r="L29" s="66"/>
      <c r="M29" s="66"/>
      <c r="N29" s="66"/>
      <c r="O29" s="66"/>
      <c r="P29" s="66"/>
      <c r="Q29" s="66"/>
      <c r="R29" s="66"/>
      <c r="S29" s="66"/>
      <c r="T29" s="66"/>
      <c r="U29" s="66"/>
      <c r="V29" s="66"/>
      <c r="W29" s="66"/>
      <c r="X29" s="66"/>
      <c r="Y29" s="66"/>
      <c r="Z29" s="66"/>
    </row>
    <row r="30" ht="12.75" customHeight="1">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row>
    <row r="31" ht="12.75" customHeight="1">
      <c r="A31" s="68" t="s">
        <v>148</v>
      </c>
      <c r="B31" s="28"/>
      <c r="C31" s="28"/>
      <c r="D31" s="29"/>
      <c r="E31" s="66"/>
      <c r="F31" s="66"/>
      <c r="G31" s="66"/>
      <c r="H31" s="66"/>
      <c r="I31" s="66"/>
      <c r="J31" s="66"/>
      <c r="K31" s="66"/>
      <c r="L31" s="66"/>
      <c r="M31" s="66"/>
      <c r="N31" s="66"/>
      <c r="O31" s="66"/>
      <c r="P31" s="66"/>
      <c r="Q31" s="66"/>
      <c r="R31" s="66"/>
      <c r="S31" s="66"/>
      <c r="T31" s="66"/>
      <c r="U31" s="66"/>
      <c r="V31" s="66"/>
      <c r="W31" s="66"/>
      <c r="X31" s="66"/>
      <c r="Y31" s="66"/>
      <c r="Z31" s="66"/>
    </row>
    <row r="32" ht="12.75" customHeight="1">
      <c r="A32" s="69" t="s">
        <v>134</v>
      </c>
      <c r="B32" s="70" t="s">
        <v>135</v>
      </c>
      <c r="C32" s="66"/>
      <c r="D32" s="71"/>
      <c r="E32" s="66"/>
      <c r="F32" s="66"/>
      <c r="G32" s="66"/>
      <c r="H32" s="66"/>
      <c r="I32" s="66"/>
      <c r="J32" s="66"/>
      <c r="K32" s="66"/>
      <c r="L32" s="66"/>
      <c r="M32" s="66"/>
      <c r="N32" s="66"/>
      <c r="O32" s="66"/>
      <c r="P32" s="66"/>
      <c r="Q32" s="66"/>
      <c r="R32" s="66"/>
      <c r="S32" s="66"/>
      <c r="T32" s="66"/>
      <c r="U32" s="66"/>
      <c r="V32" s="66"/>
      <c r="W32" s="66"/>
      <c r="X32" s="66"/>
      <c r="Y32" s="66"/>
      <c r="Z32" s="66"/>
    </row>
    <row r="33" ht="12.75" customHeight="1">
      <c r="A33" s="69" t="s">
        <v>136</v>
      </c>
      <c r="B33" s="70" t="s">
        <v>34</v>
      </c>
      <c r="C33" s="66"/>
      <c r="D33" s="71"/>
      <c r="E33" s="66"/>
      <c r="F33" s="66"/>
      <c r="G33" s="66"/>
      <c r="H33" s="66"/>
      <c r="I33" s="66"/>
      <c r="J33" s="66"/>
      <c r="K33" s="66"/>
      <c r="L33" s="66"/>
      <c r="M33" s="66"/>
      <c r="N33" s="66"/>
      <c r="O33" s="66"/>
      <c r="P33" s="66"/>
      <c r="Q33" s="66"/>
      <c r="R33" s="66"/>
      <c r="S33" s="66"/>
      <c r="T33" s="66"/>
      <c r="U33" s="66"/>
      <c r="V33" s="66"/>
      <c r="W33" s="66"/>
      <c r="X33" s="66"/>
      <c r="Y33" s="66"/>
      <c r="Z33" s="66"/>
    </row>
    <row r="34" ht="12.75" customHeight="1">
      <c r="A34" s="69" t="s">
        <v>137</v>
      </c>
      <c r="B34" s="70" t="s">
        <v>138</v>
      </c>
      <c r="C34" s="66"/>
      <c r="D34" s="71"/>
      <c r="E34" s="66"/>
      <c r="F34" s="66"/>
      <c r="G34" s="66"/>
      <c r="H34" s="66"/>
      <c r="I34" s="66"/>
      <c r="J34" s="66"/>
      <c r="K34" s="66"/>
      <c r="L34" s="66"/>
      <c r="M34" s="66"/>
      <c r="N34" s="66"/>
      <c r="O34" s="66"/>
      <c r="P34" s="66"/>
      <c r="Q34" s="66"/>
      <c r="R34" s="66"/>
      <c r="S34" s="66"/>
      <c r="T34" s="66"/>
      <c r="U34" s="66"/>
      <c r="V34" s="66"/>
      <c r="W34" s="66"/>
      <c r="X34" s="66"/>
      <c r="Y34" s="66"/>
      <c r="Z34" s="66"/>
    </row>
    <row r="35" ht="12.75" customHeight="1">
      <c r="A35" s="72"/>
      <c r="B35" s="66"/>
      <c r="C35" s="66"/>
      <c r="D35" s="71"/>
      <c r="E35" s="66"/>
      <c r="F35" s="66"/>
      <c r="G35" s="66"/>
      <c r="H35" s="66"/>
      <c r="I35" s="66"/>
      <c r="J35" s="66"/>
      <c r="K35" s="66"/>
      <c r="L35" s="66"/>
      <c r="M35" s="66"/>
      <c r="N35" s="66"/>
      <c r="O35" s="66"/>
      <c r="P35" s="66"/>
      <c r="Q35" s="66"/>
      <c r="R35" s="66"/>
      <c r="S35" s="66"/>
      <c r="T35" s="66"/>
      <c r="U35" s="66"/>
      <c r="V35" s="66"/>
      <c r="W35" s="66"/>
      <c r="X35" s="66"/>
      <c r="Y35" s="66"/>
      <c r="Z35" s="66"/>
    </row>
    <row r="36" ht="12.75" customHeight="1">
      <c r="A36" s="73" t="s">
        <v>139</v>
      </c>
      <c r="B36" s="73" t="s">
        <v>140</v>
      </c>
      <c r="C36" s="73" t="s">
        <v>141</v>
      </c>
      <c r="D36" s="73" t="s">
        <v>149</v>
      </c>
      <c r="E36" s="66"/>
      <c r="F36" s="66"/>
      <c r="G36" s="66"/>
      <c r="H36" s="66"/>
      <c r="I36" s="66"/>
      <c r="J36" s="66"/>
      <c r="K36" s="66"/>
      <c r="L36" s="66"/>
      <c r="M36" s="66"/>
      <c r="N36" s="66"/>
      <c r="O36" s="66"/>
      <c r="P36" s="66"/>
      <c r="Q36" s="66"/>
      <c r="R36" s="66"/>
      <c r="S36" s="66"/>
      <c r="T36" s="66"/>
      <c r="U36" s="66"/>
      <c r="V36" s="66"/>
      <c r="W36" s="66"/>
      <c r="X36" s="66"/>
      <c r="Y36" s="66"/>
      <c r="Z36" s="66"/>
    </row>
    <row r="37" ht="12.75" customHeight="1">
      <c r="A37" s="74" t="s">
        <v>143</v>
      </c>
      <c r="B37" s="75">
        <v>0.0</v>
      </c>
      <c r="C37" s="76">
        <v>0.0</v>
      </c>
      <c r="D37" s="77"/>
      <c r="E37" s="66"/>
      <c r="F37" s="66"/>
      <c r="G37" s="66"/>
      <c r="H37" s="66"/>
      <c r="I37" s="66"/>
      <c r="J37" s="66"/>
      <c r="K37" s="66"/>
      <c r="L37" s="66"/>
      <c r="M37" s="66"/>
      <c r="N37" s="66"/>
      <c r="O37" s="66"/>
      <c r="P37" s="66"/>
      <c r="Q37" s="66"/>
      <c r="R37" s="66"/>
      <c r="S37" s="66"/>
      <c r="T37" s="66"/>
      <c r="U37" s="66"/>
      <c r="V37" s="66"/>
      <c r="W37" s="66"/>
      <c r="X37" s="66"/>
      <c r="Y37" s="66"/>
      <c r="Z37" s="66"/>
    </row>
    <row r="38" ht="12.75" customHeight="1">
      <c r="A38" s="78" t="s">
        <v>79</v>
      </c>
      <c r="B38" s="79">
        <v>0.0</v>
      </c>
      <c r="C38" s="80">
        <v>0.0</v>
      </c>
      <c r="D38" s="81"/>
      <c r="E38" s="66"/>
      <c r="F38" s="66"/>
      <c r="G38" s="66"/>
      <c r="H38" s="66"/>
      <c r="I38" s="66"/>
      <c r="J38" s="66"/>
      <c r="K38" s="66"/>
      <c r="L38" s="66"/>
      <c r="M38" s="66"/>
      <c r="N38" s="66"/>
      <c r="O38" s="66"/>
      <c r="P38" s="66"/>
      <c r="Q38" s="66"/>
      <c r="R38" s="66"/>
      <c r="S38" s="66"/>
      <c r="T38" s="66"/>
      <c r="U38" s="66"/>
      <c r="V38" s="66"/>
      <c r="W38" s="66"/>
      <c r="X38" s="66"/>
      <c r="Y38" s="66"/>
      <c r="Z38" s="66"/>
    </row>
    <row r="39" ht="12.75" customHeight="1">
      <c r="A39" s="78" t="s">
        <v>121</v>
      </c>
      <c r="B39" s="79">
        <v>0.0</v>
      </c>
      <c r="C39" s="80">
        <v>0.0</v>
      </c>
      <c r="D39" s="81"/>
      <c r="E39" s="66"/>
      <c r="F39" s="66"/>
      <c r="G39" s="66"/>
      <c r="H39" s="66"/>
      <c r="I39" s="66"/>
      <c r="J39" s="66"/>
      <c r="K39" s="66"/>
      <c r="L39" s="66"/>
      <c r="M39" s="66"/>
      <c r="N39" s="66"/>
      <c r="O39" s="66"/>
      <c r="P39" s="66"/>
      <c r="Q39" s="66"/>
      <c r="R39" s="66"/>
      <c r="S39" s="66"/>
      <c r="T39" s="66"/>
      <c r="U39" s="66"/>
      <c r="V39" s="66"/>
      <c r="W39" s="66"/>
      <c r="X39" s="66"/>
      <c r="Y39" s="66"/>
      <c r="Z39" s="66"/>
    </row>
    <row r="40" ht="12.75" customHeight="1">
      <c r="A40" s="78" t="s">
        <v>95</v>
      </c>
      <c r="B40" s="79">
        <v>0.0</v>
      </c>
      <c r="C40" s="80">
        <v>0.0</v>
      </c>
      <c r="D40" s="81"/>
      <c r="E40" s="66"/>
      <c r="F40" s="66"/>
      <c r="G40" s="66"/>
      <c r="H40" s="66"/>
      <c r="I40" s="66"/>
      <c r="J40" s="66"/>
      <c r="K40" s="66"/>
      <c r="L40" s="66"/>
      <c r="M40" s="66"/>
      <c r="N40" s="66"/>
      <c r="O40" s="66"/>
      <c r="P40" s="66"/>
      <c r="Q40" s="66"/>
      <c r="R40" s="66"/>
      <c r="S40" s="66"/>
      <c r="T40" s="66"/>
      <c r="U40" s="66"/>
      <c r="V40" s="66"/>
      <c r="W40" s="66"/>
      <c r="X40" s="66"/>
      <c r="Y40" s="66"/>
      <c r="Z40" s="66"/>
    </row>
    <row r="41" ht="12.75" customHeight="1">
      <c r="A41" s="78" t="s">
        <v>144</v>
      </c>
      <c r="B41" s="82">
        <v>0.0</v>
      </c>
      <c r="C41" s="82">
        <v>0.0</v>
      </c>
      <c r="D41" s="81"/>
      <c r="E41" s="66"/>
      <c r="F41" s="66"/>
      <c r="G41" s="66"/>
      <c r="H41" s="66"/>
      <c r="I41" s="66"/>
      <c r="J41" s="66"/>
      <c r="K41" s="66"/>
      <c r="L41" s="66"/>
      <c r="M41" s="66"/>
      <c r="N41" s="66"/>
      <c r="O41" s="66"/>
      <c r="P41" s="66"/>
      <c r="Q41" s="66"/>
      <c r="R41" s="66"/>
      <c r="S41" s="66"/>
      <c r="T41" s="66"/>
      <c r="U41" s="66"/>
      <c r="V41" s="66"/>
      <c r="W41" s="66"/>
      <c r="X41" s="66"/>
      <c r="Y41" s="66"/>
      <c r="Z41" s="66"/>
    </row>
    <row r="42" ht="12.75" customHeight="1">
      <c r="A42" s="83" t="s">
        <v>145</v>
      </c>
      <c r="B42" s="84">
        <f t="shared" ref="B42:C42" si="3">SUM(B37:B41)</f>
        <v>0</v>
      </c>
      <c r="C42" s="85">
        <f t="shared" si="3"/>
        <v>0</v>
      </c>
      <c r="D42" s="86" t="str">
        <f>IF(B42=C42,"PRESUPUESTO VALIDADO","CORREGIR DIFERENCIA")</f>
        <v>PRESUPUESTO VALIDADO</v>
      </c>
      <c r="E42" s="66"/>
      <c r="F42" s="66"/>
      <c r="G42" s="66"/>
      <c r="H42" s="66"/>
      <c r="I42" s="66"/>
      <c r="J42" s="66"/>
      <c r="K42" s="66"/>
      <c r="L42" s="66"/>
      <c r="M42" s="66"/>
      <c r="N42" s="66"/>
      <c r="O42" s="66"/>
      <c r="P42" s="66"/>
      <c r="Q42" s="66"/>
      <c r="R42" s="66"/>
      <c r="S42" s="66"/>
      <c r="T42" s="66"/>
      <c r="U42" s="66"/>
      <c r="V42" s="66"/>
      <c r="W42" s="66"/>
      <c r="X42" s="66"/>
      <c r="Y42" s="66"/>
      <c r="Z42" s="66"/>
    </row>
    <row r="43" ht="12.75" customHeight="1">
      <c r="A43" s="87"/>
      <c r="B43" s="88"/>
      <c r="C43" s="88"/>
      <c r="D43" s="89"/>
      <c r="E43" s="66"/>
      <c r="F43" s="66"/>
      <c r="G43" s="66"/>
      <c r="H43" s="66"/>
      <c r="I43" s="66"/>
      <c r="J43" s="66"/>
      <c r="K43" s="66"/>
      <c r="L43" s="66"/>
      <c r="M43" s="66"/>
      <c r="N43" s="66"/>
      <c r="O43" s="66"/>
      <c r="P43" s="66"/>
      <c r="Q43" s="66"/>
      <c r="R43" s="66"/>
      <c r="S43" s="66"/>
      <c r="T43" s="66"/>
      <c r="U43" s="66"/>
      <c r="V43" s="66"/>
      <c r="W43" s="66"/>
      <c r="X43" s="66"/>
      <c r="Y43" s="66"/>
      <c r="Z43" s="66"/>
    </row>
    <row r="44" ht="12.75" customHeight="1">
      <c r="A44" s="68" t="s">
        <v>150</v>
      </c>
      <c r="B44" s="28"/>
      <c r="C44" s="28"/>
      <c r="D44" s="29"/>
      <c r="E44" s="66"/>
      <c r="F44" s="66"/>
      <c r="G44" s="66"/>
      <c r="H44" s="66"/>
      <c r="I44" s="66"/>
      <c r="J44" s="66"/>
      <c r="K44" s="66"/>
      <c r="L44" s="66"/>
      <c r="M44" s="66"/>
      <c r="N44" s="66"/>
      <c r="O44" s="66"/>
      <c r="P44" s="66"/>
      <c r="Q44" s="66"/>
      <c r="R44" s="66"/>
      <c r="S44" s="66"/>
      <c r="T44" s="66"/>
      <c r="U44" s="66"/>
      <c r="V44" s="66"/>
      <c r="W44" s="66"/>
      <c r="X44" s="66"/>
      <c r="Y44" s="66"/>
      <c r="Z44" s="66"/>
    </row>
    <row r="45" ht="12.75" customHeight="1">
      <c r="A45" s="69" t="s">
        <v>134</v>
      </c>
      <c r="B45" s="70" t="s">
        <v>135</v>
      </c>
      <c r="C45" s="66"/>
      <c r="D45" s="71"/>
      <c r="E45" s="66"/>
      <c r="F45" s="66"/>
      <c r="G45" s="66"/>
      <c r="H45" s="66"/>
      <c r="I45" s="66"/>
      <c r="J45" s="66"/>
      <c r="K45" s="66"/>
      <c r="L45" s="66"/>
      <c r="M45" s="66"/>
      <c r="N45" s="66"/>
      <c r="O45" s="66"/>
      <c r="P45" s="66"/>
      <c r="Q45" s="66"/>
      <c r="R45" s="66"/>
      <c r="S45" s="66"/>
      <c r="T45" s="66"/>
      <c r="U45" s="66"/>
      <c r="V45" s="66"/>
      <c r="W45" s="66"/>
      <c r="X45" s="66"/>
      <c r="Y45" s="66"/>
      <c r="Z45" s="66"/>
    </row>
    <row r="46" ht="12.75" customHeight="1">
      <c r="A46" s="69" t="s">
        <v>136</v>
      </c>
      <c r="B46" s="70" t="s">
        <v>34</v>
      </c>
      <c r="C46" s="66"/>
      <c r="D46" s="71"/>
      <c r="E46" s="66"/>
      <c r="F46" s="66"/>
      <c r="G46" s="66"/>
      <c r="H46" s="66"/>
      <c r="I46" s="66"/>
      <c r="J46" s="66"/>
      <c r="K46" s="66"/>
      <c r="L46" s="66"/>
      <c r="M46" s="66"/>
      <c r="N46" s="66"/>
      <c r="O46" s="66"/>
      <c r="P46" s="66"/>
      <c r="Q46" s="66"/>
      <c r="R46" s="66"/>
      <c r="S46" s="66"/>
      <c r="T46" s="66"/>
      <c r="U46" s="66"/>
      <c r="V46" s="66"/>
      <c r="W46" s="66"/>
      <c r="X46" s="66"/>
      <c r="Y46" s="66"/>
      <c r="Z46" s="66"/>
    </row>
    <row r="47" ht="12.75" customHeight="1">
      <c r="A47" s="69" t="s">
        <v>137</v>
      </c>
      <c r="B47" s="70" t="s">
        <v>138</v>
      </c>
      <c r="C47" s="66"/>
      <c r="D47" s="71"/>
      <c r="E47" s="66"/>
      <c r="F47" s="66"/>
      <c r="G47" s="66"/>
      <c r="H47" s="66"/>
      <c r="I47" s="66"/>
      <c r="J47" s="66"/>
      <c r="K47" s="66"/>
      <c r="L47" s="66"/>
      <c r="M47" s="66"/>
      <c r="N47" s="66"/>
      <c r="O47" s="66"/>
      <c r="P47" s="66"/>
      <c r="Q47" s="66"/>
      <c r="R47" s="66"/>
      <c r="S47" s="66"/>
      <c r="T47" s="66"/>
      <c r="U47" s="66"/>
      <c r="V47" s="66"/>
      <c r="W47" s="66"/>
      <c r="X47" s="66"/>
      <c r="Y47" s="66"/>
      <c r="Z47" s="66"/>
    </row>
    <row r="48" ht="12.75" customHeight="1">
      <c r="A48" s="72"/>
      <c r="B48" s="66"/>
      <c r="C48" s="66"/>
      <c r="D48" s="71"/>
      <c r="E48" s="66"/>
      <c r="F48" s="66"/>
      <c r="G48" s="66"/>
      <c r="H48" s="66"/>
      <c r="I48" s="66"/>
      <c r="J48" s="66"/>
      <c r="K48" s="66"/>
      <c r="L48" s="66"/>
      <c r="M48" s="66"/>
      <c r="N48" s="66"/>
      <c r="O48" s="66"/>
      <c r="P48" s="66"/>
      <c r="Q48" s="66"/>
      <c r="R48" s="66"/>
      <c r="S48" s="66"/>
      <c r="T48" s="66"/>
      <c r="U48" s="66"/>
      <c r="V48" s="66"/>
      <c r="W48" s="66"/>
      <c r="X48" s="66"/>
      <c r="Y48" s="66"/>
      <c r="Z48" s="66"/>
    </row>
    <row r="49" ht="12.75" customHeight="1">
      <c r="A49" s="73" t="s">
        <v>139</v>
      </c>
      <c r="B49" s="73" t="s">
        <v>140</v>
      </c>
      <c r="C49" s="73" t="s">
        <v>141</v>
      </c>
      <c r="D49" s="73" t="s">
        <v>151</v>
      </c>
      <c r="E49" s="66"/>
      <c r="F49" s="66"/>
      <c r="G49" s="66"/>
      <c r="H49" s="66"/>
      <c r="I49" s="66"/>
      <c r="J49" s="66"/>
      <c r="K49" s="66"/>
      <c r="L49" s="66"/>
      <c r="M49" s="66"/>
      <c r="N49" s="66"/>
      <c r="O49" s="66"/>
      <c r="P49" s="66"/>
      <c r="Q49" s="66"/>
      <c r="R49" s="66"/>
      <c r="S49" s="66"/>
      <c r="T49" s="66"/>
      <c r="U49" s="66"/>
      <c r="V49" s="66"/>
      <c r="W49" s="66"/>
      <c r="X49" s="66"/>
      <c r="Y49" s="66"/>
      <c r="Z49" s="66"/>
    </row>
    <row r="50" ht="12.75" customHeight="1">
      <c r="A50" s="74" t="s">
        <v>143</v>
      </c>
      <c r="B50" s="75">
        <v>0.0</v>
      </c>
      <c r="C50" s="76">
        <v>0.0</v>
      </c>
      <c r="D50" s="77"/>
      <c r="E50" s="66"/>
      <c r="F50" s="66"/>
      <c r="G50" s="66"/>
      <c r="H50" s="66"/>
      <c r="I50" s="66"/>
      <c r="J50" s="66"/>
      <c r="K50" s="66"/>
      <c r="L50" s="66"/>
      <c r="M50" s="66"/>
      <c r="N50" s="66"/>
      <c r="O50" s="66"/>
      <c r="P50" s="66"/>
      <c r="Q50" s="66"/>
      <c r="R50" s="66"/>
      <c r="S50" s="66"/>
      <c r="T50" s="66"/>
      <c r="U50" s="66"/>
      <c r="V50" s="66"/>
      <c r="W50" s="66"/>
      <c r="X50" s="66"/>
      <c r="Y50" s="66"/>
      <c r="Z50" s="66"/>
    </row>
    <row r="51" ht="12.75" customHeight="1">
      <c r="A51" s="78" t="s">
        <v>79</v>
      </c>
      <c r="B51" s="79">
        <v>0.0</v>
      </c>
      <c r="C51" s="80">
        <v>0.0</v>
      </c>
      <c r="D51" s="81"/>
      <c r="E51" s="66"/>
      <c r="F51" s="66"/>
      <c r="G51" s="66"/>
      <c r="H51" s="66"/>
      <c r="I51" s="66"/>
      <c r="J51" s="66"/>
      <c r="K51" s="66"/>
      <c r="L51" s="66"/>
      <c r="M51" s="66"/>
      <c r="N51" s="66"/>
      <c r="O51" s="66"/>
      <c r="P51" s="66"/>
      <c r="Q51" s="66"/>
      <c r="R51" s="66"/>
      <c r="S51" s="66"/>
      <c r="T51" s="66"/>
      <c r="U51" s="66"/>
      <c r="V51" s="66"/>
      <c r="W51" s="66"/>
      <c r="X51" s="66"/>
      <c r="Y51" s="66"/>
      <c r="Z51" s="66"/>
    </row>
    <row r="52" ht="12.75" customHeight="1">
      <c r="A52" s="78" t="s">
        <v>121</v>
      </c>
      <c r="B52" s="79">
        <v>0.0</v>
      </c>
      <c r="C52" s="80">
        <v>0.0</v>
      </c>
      <c r="D52" s="81"/>
      <c r="E52" s="66"/>
      <c r="F52" s="66"/>
      <c r="G52" s="66"/>
      <c r="H52" s="66"/>
      <c r="I52" s="66"/>
      <c r="J52" s="66"/>
      <c r="K52" s="66"/>
      <c r="L52" s="66"/>
      <c r="M52" s="66"/>
      <c r="N52" s="66"/>
      <c r="O52" s="66"/>
      <c r="P52" s="66"/>
      <c r="Q52" s="66"/>
      <c r="R52" s="66"/>
      <c r="S52" s="66"/>
      <c r="T52" s="66"/>
      <c r="U52" s="66"/>
      <c r="V52" s="66"/>
      <c r="W52" s="66"/>
      <c r="X52" s="66"/>
      <c r="Y52" s="66"/>
      <c r="Z52" s="66"/>
    </row>
    <row r="53" ht="12.75" customHeight="1">
      <c r="A53" s="78" t="s">
        <v>95</v>
      </c>
      <c r="B53" s="79">
        <v>0.0</v>
      </c>
      <c r="C53" s="80">
        <v>0.0</v>
      </c>
      <c r="D53" s="81"/>
      <c r="E53" s="66"/>
      <c r="F53" s="66"/>
      <c r="G53" s="66"/>
      <c r="H53" s="66"/>
      <c r="I53" s="66"/>
      <c r="J53" s="66"/>
      <c r="K53" s="66"/>
      <c r="L53" s="66"/>
      <c r="M53" s="66"/>
      <c r="N53" s="66"/>
      <c r="O53" s="66"/>
      <c r="P53" s="66"/>
      <c r="Q53" s="66"/>
      <c r="R53" s="66"/>
      <c r="S53" s="66"/>
      <c r="T53" s="66"/>
      <c r="U53" s="66"/>
      <c r="V53" s="66"/>
      <c r="W53" s="66"/>
      <c r="X53" s="66"/>
      <c r="Y53" s="66"/>
      <c r="Z53" s="66"/>
    </row>
    <row r="54" ht="12.75" customHeight="1">
      <c r="A54" s="78" t="s">
        <v>144</v>
      </c>
      <c r="B54" s="82">
        <v>0.0</v>
      </c>
      <c r="C54" s="82">
        <v>0.0</v>
      </c>
      <c r="D54" s="81"/>
      <c r="E54" s="66"/>
      <c r="F54" s="66"/>
      <c r="G54" s="66"/>
      <c r="H54" s="66"/>
      <c r="I54" s="66"/>
      <c r="J54" s="66"/>
      <c r="K54" s="66"/>
      <c r="L54" s="66"/>
      <c r="M54" s="66"/>
      <c r="N54" s="66"/>
      <c r="O54" s="66"/>
      <c r="P54" s="66"/>
      <c r="Q54" s="66"/>
      <c r="R54" s="66"/>
      <c r="S54" s="66"/>
      <c r="T54" s="66"/>
      <c r="U54" s="66"/>
      <c r="V54" s="66"/>
      <c r="W54" s="66"/>
      <c r="X54" s="66"/>
      <c r="Y54" s="66"/>
      <c r="Z54" s="66"/>
    </row>
    <row r="55" ht="12.75" customHeight="1">
      <c r="A55" s="83" t="s">
        <v>145</v>
      </c>
      <c r="B55" s="84">
        <f t="shared" ref="B55:C55" si="4">SUM(B50:B54)</f>
        <v>0</v>
      </c>
      <c r="C55" s="85">
        <f t="shared" si="4"/>
        <v>0</v>
      </c>
      <c r="D55" s="86" t="str">
        <f>IF(B55=C55,"PRESUPUESTO VALIDADO","CORREGIR DIFERENCIA")</f>
        <v>PRESUPUESTO VALIDADO</v>
      </c>
      <c r="E55" s="66"/>
      <c r="F55" s="66"/>
      <c r="G55" s="66"/>
      <c r="H55" s="66"/>
      <c r="I55" s="66"/>
      <c r="J55" s="66"/>
      <c r="K55" s="66"/>
      <c r="L55" s="66"/>
      <c r="M55" s="66"/>
      <c r="N55" s="66"/>
      <c r="O55" s="66"/>
      <c r="P55" s="66"/>
      <c r="Q55" s="66"/>
      <c r="R55" s="66"/>
      <c r="S55" s="66"/>
      <c r="T55" s="66"/>
      <c r="U55" s="66"/>
      <c r="V55" s="66"/>
      <c r="W55" s="66"/>
      <c r="X55" s="66"/>
      <c r="Y55" s="66"/>
      <c r="Z55" s="66"/>
    </row>
    <row r="56" ht="12.75" customHeight="1">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ht="12.75" customHeight="1">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ht="12.75" customHeight="1">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ht="12.75" customHeight="1">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ht="12.75" customHeight="1">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ht="12.75" customHeight="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ht="12.75" customHeight="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ht="12.75" customHeight="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ht="12.75" customHeight="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ht="12.75"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ht="12.75" customHeight="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ht="12.75" customHeight="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ht="12.75" customHeight="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ht="12.75"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ht="12.75"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ht="12.75"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ht="12.75"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ht="12.75"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ht="12.75"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ht="12.75"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12.75"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12.75"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12.75"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12.7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2.7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2.7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2.7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2.7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2.7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2.7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2.7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2.7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2.7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2.7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2.7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2.7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2.7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2.7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2.7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2.7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2.7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2.7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2.7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2.7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2.7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2.7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2.7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2.7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2.7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2.7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2.7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2.7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2.7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2.7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2.7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2.7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2.7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2.7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2.7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2.7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2.7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2.7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2.7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2.7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2.7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2.7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2.7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2.7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2.7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2.7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2.7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2.7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2.7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2.7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2.7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2.7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2.7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2.7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2.7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2.7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2.7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2.7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2.7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2.7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2.7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2.7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2.7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2.7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2.7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2.7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2.7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2.7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2.7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2.7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2.7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2.7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2.7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2.7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2.7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2.7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2.7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2.7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2.7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2.7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2.7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2.7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2.7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2.7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2.7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2.7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2.7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2.7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2.7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2.7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2.7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2.7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2.7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2.7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2.7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2.7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2.7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2.7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2.7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2.7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2.7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2.7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2.7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2.7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2.7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2.7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2.7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2.7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2.7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2.7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2.7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2.7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2.7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2.7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2.7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2.7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2.7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2.7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2.7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2.7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2.7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2.7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2.7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2.7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2.7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2.7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2.7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2.7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2.7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2.7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2.7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2.7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2.7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2.7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2.7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2.7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2.7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2.7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2.7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2.7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2.7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2.7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2.7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2.7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2.7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2.7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2.7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2.7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2.7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2.7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2.7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2.7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2.7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2.7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2.7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2.7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2.7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2.7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2.7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2.7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2.7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2.7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2.7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2.7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2.7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2.7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2.7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2.7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2.7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2.7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2.7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2.7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2.7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2.7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2.7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2.7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2.7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2.7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2.7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2.7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2.7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2.7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2.7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2.7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2.7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2.7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2.7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2.7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2.7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2.7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2.7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2.7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2.7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2.7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2.7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2.7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2.7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2.7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2.7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2.7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2.7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2.7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2.7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2.7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2.7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2.7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2.7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2.7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2.7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2.7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2.7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2.7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2.7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2.7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2.7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2.7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2.7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2.7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2.7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2.7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2.7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2.7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2.7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2.7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2.7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2.7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2.7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2.7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2.7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2.7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2.7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2.7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2.7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2.7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2.7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2.7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2.7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2.7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2.7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2.7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2.7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2.7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2.7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2.7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2.7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2.7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2.7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2.7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2.7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2.7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2.7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2.7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2.7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2.7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2.7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2.7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2.7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2.7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2.7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2.7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2.7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2.7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2.7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2.7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2.7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2.7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2.7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2.7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2.7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2.7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2.7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2.7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2.7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2.7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2.7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2.7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2.7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2.7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2.7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2.7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2.7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2.7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2.7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2.7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2.7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2.7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2.7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2.7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2.7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2.7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2.7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2.7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2.7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2.7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2.7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2.7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2.7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2.7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2.7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2.7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2.7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2.7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2.7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2.7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2.7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2.7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2.7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2.7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2.7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2.7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2.7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2.7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2.7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2.7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2.7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2.7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2.7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2.7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2.7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2.7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2.7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2.7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2.7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2.7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2.7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2.7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2.7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2.7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2.7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2.7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2.7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2.7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2.7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2.7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2.7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2.7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2.7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2.7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2.7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2.7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2.7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2.7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2.7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2.7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2.7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2.7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2.7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2.7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2.7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2.7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2.7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2.7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2.7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2.7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2.7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2.7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2.7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2.7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2.7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2.7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2.7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2.7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2.7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2.7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2.7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2.7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2.7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2.7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2.7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2.7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2.7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2.7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2.7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2.7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2.7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2.7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2.7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2.7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2.7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2.7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2.7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2.7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2.7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2.7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2.7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2.7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2.7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2.7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2.7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2.7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2.7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2.7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2.7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2.7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2.7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2.7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2.7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2.7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2.7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2.7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2.7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2.7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2.7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2.7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2.7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2.7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2.7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2.7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2.7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2.7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2.7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2.7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2.7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2.7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2.7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2.7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2.7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2.7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2.7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2.7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2.7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2.7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2.7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2.7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2.7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2.7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2.7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2.7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2.7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2.7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2.7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2.7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2.7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2.7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2.7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2.7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2.7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2.7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2.7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2.7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2.7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2.7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2.7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2.7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2.7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2.7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2.7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2.7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2.7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2.7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2.7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2.7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2.7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2.7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2.7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2.7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2.7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2.7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2.7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2.7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2.7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2.7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2.7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2.7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2.7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2.7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2.7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2.7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2.7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2.7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2.7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2.7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2.7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2.7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2.7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2.7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2.7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2.7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2.7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2.7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2.7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2.7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2.7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2.7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2.7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2.7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2.7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2.7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2.7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2.7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2.7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2.7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2.7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2.7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2.7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2.7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2.7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2.7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2.7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2.7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2.7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2.7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2.7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2.7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2.7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2.7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2.7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2.7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2.7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2.7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2.7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2.7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2.7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2.7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2.7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2.7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2.7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2.7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2.7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2.7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2.7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2.7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2.7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2.7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2.7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2.7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2.7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2.7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2.7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2.7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2.7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2.7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2.7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2.7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2.7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2.7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2.7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2.7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2.7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2.7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2.7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2.7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2.7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2.7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2.7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2.7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2.7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2.7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2.7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2.7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2.7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2.7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2.7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2.7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2.7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2.7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2.7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2.7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2.7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2.7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2.7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2.7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2.7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2.7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2.7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2.7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2.7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2.7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2.7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2.7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2.7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2.7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2.7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2.7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2.7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2.7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2.7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2.7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2.7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2.7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2.7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2.7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2.7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2.7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2.7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2.7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2.7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2.7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2.7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2.7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2.7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2.7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2.7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2.7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2.7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2.7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2.7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2.7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2.7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2.7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2.7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2.7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2.7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2.7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2.7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2.7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2.7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2.7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2.7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2.7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2.7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2.7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2.7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2.7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2.7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2.7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2.7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2.7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2.7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2.7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2.7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2.7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2.7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2.7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2.7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2.7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2.7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2.7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2.7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2.7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2.7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2.7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2.7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2.7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2.7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2.7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2.7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2.7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2.7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2.7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2.7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2.7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2.7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2.7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2.7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2.7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2.7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2.7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2.7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2.7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2.7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2.7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2.7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2.7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2.7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2.7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2.7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2.7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2.7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2.7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2.7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2.7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2.7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2.7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2.7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2.7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2.7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2.7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2.7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2.7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2.7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2.7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2.7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2.7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2.7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2.7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2.7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2.7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2.7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2.7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2.7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2.7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2.7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2.7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2.7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2.7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2.7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2.7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2.7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2.7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2.7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2.7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2.7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2.7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2.7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2.7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2.7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2.7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2.7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2.7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2.7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2.7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2.7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2.7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2.7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2.7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2.7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2.7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2.7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2.7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2.7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2.7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2.7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2.7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2.7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2.7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2.7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2.7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2.7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2.7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2.7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2.7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2.7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2.7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2.7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2.7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2.7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2.7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2.7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2.7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2.7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2.7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2.7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2.7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2.7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2.7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2.7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2.7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2.7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2.7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2.7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2.7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2.7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2.7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2.7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2.7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2.7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2.7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2.7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2.7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2.7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2.7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2.7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2.7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2.7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2.7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2.7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2.7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2.7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2.7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2.7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2.7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2.7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2.7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2.7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2.7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2.7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2.7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2.7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2.7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2.7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2.7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2.7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2.7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2.7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2.7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2.7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2.7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2.7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2.7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2.7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2.7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2.7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2.7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2.7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2.7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2.7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2.7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2.7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2.7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2.7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2.7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2.7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2.7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2.7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2.7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2.7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2.7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2.7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2.7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2.7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2.7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2.7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2.7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2.7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2.7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2.7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2.7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2.7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2.7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2.7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2.7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2.7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2.7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2.7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2.7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2.7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2.7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2.7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2.7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2.7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2.7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2.7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2.7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2.7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2.7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2.7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2.7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2.7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2.7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2.7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2.7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2.7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2.7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2.7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2.7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2.7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2.7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2.7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2.7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2.7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2.7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2.7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2.7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2.7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2.7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2.7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2.7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2.7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2.7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2.7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2.7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2.7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2.7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2.7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2.7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2.7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2.7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2.7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2.7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2.7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2.7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2.7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2.7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2.7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2.7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2.7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2.7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2.7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2.7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2.7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2.7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2.7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2.7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2.7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2.7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2.7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2.7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2.7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2.7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2.7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2.7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2.7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2.7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2.7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2.7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2.7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2.7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2.7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2.7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2.7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2.7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2.7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2.7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2.7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2.7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2.7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2.7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2.7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2.7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2.7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2.7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2.7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2.7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2.7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2.7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2.7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2.7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2.7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2.7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2.7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2.7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2.7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2.7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2.7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2.7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2.7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2.7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2.7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2.75"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2.75"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mergeCells count="6">
    <mergeCell ref="A1:D1"/>
    <mergeCell ref="A3:D3"/>
    <mergeCell ref="A5:D5"/>
    <mergeCell ref="A18:D18"/>
    <mergeCell ref="A31:D31"/>
    <mergeCell ref="A44:D44"/>
  </mergeCells>
  <conditionalFormatting sqref="D16">
    <cfRule type="cellIs" dxfId="1" priority="1" stopIfTrue="1" operator="equal">
      <formula>"CORREGIR DIFERENCIA"</formula>
    </cfRule>
  </conditionalFormatting>
  <conditionalFormatting sqref="D16">
    <cfRule type="cellIs" dxfId="2" priority="2" stopIfTrue="1" operator="equal">
      <formula>"PRESUPUESTO VALIDADO"</formula>
    </cfRule>
  </conditionalFormatting>
  <conditionalFormatting sqref="D29">
    <cfRule type="cellIs" dxfId="1" priority="3" stopIfTrue="1" operator="equal">
      <formula>"CORREGIR DIFERENCIA"</formula>
    </cfRule>
  </conditionalFormatting>
  <conditionalFormatting sqref="D29">
    <cfRule type="cellIs" dxfId="2" priority="4" stopIfTrue="1" operator="equal">
      <formula>"PRESUPUESTO VALIDADO"</formula>
    </cfRule>
  </conditionalFormatting>
  <conditionalFormatting sqref="D42:D43">
    <cfRule type="cellIs" dxfId="1" priority="5" stopIfTrue="1" operator="equal">
      <formula>"CORREGIR DIFERENCIA"</formula>
    </cfRule>
  </conditionalFormatting>
  <conditionalFormatting sqref="D42:D43">
    <cfRule type="cellIs" dxfId="2" priority="6" stopIfTrue="1" operator="equal">
      <formula>"PRESUPUESTO VALIDADO"</formula>
    </cfRule>
  </conditionalFormatting>
  <conditionalFormatting sqref="D55">
    <cfRule type="cellIs" dxfId="1" priority="7" stopIfTrue="1" operator="equal">
      <formula>"CORREGIR DIFERENCIA"</formula>
    </cfRule>
  </conditionalFormatting>
  <conditionalFormatting sqref="D55">
    <cfRule type="cellIs" dxfId="2" priority="8" stopIfTrue="1" operator="equal">
      <formula>"PRESUPUESTO VALIDADO"</formula>
    </cfRule>
  </conditionalFormatting>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63"/>
    <col customWidth="1" min="2" max="3" width="14.75"/>
    <col customWidth="1" min="4" max="4" width="101.38"/>
    <col customWidth="1" min="5" max="26" width="11.75"/>
  </cols>
  <sheetData>
    <row r="1" ht="12.75" customHeight="1">
      <c r="A1" s="65" t="s">
        <v>131</v>
      </c>
      <c r="E1" s="66"/>
      <c r="F1" s="66"/>
      <c r="G1" s="66"/>
      <c r="H1" s="66"/>
      <c r="I1" s="66"/>
      <c r="J1" s="66"/>
      <c r="K1" s="66"/>
      <c r="L1" s="66"/>
      <c r="M1" s="66"/>
      <c r="N1" s="66"/>
      <c r="O1" s="66"/>
      <c r="P1" s="66"/>
      <c r="Q1" s="66"/>
      <c r="R1" s="66"/>
      <c r="S1" s="66"/>
      <c r="T1" s="66"/>
      <c r="U1" s="66"/>
      <c r="V1" s="66"/>
      <c r="W1" s="66"/>
      <c r="X1" s="66"/>
      <c r="Y1" s="66"/>
      <c r="Z1" s="66"/>
    </row>
    <row r="2" ht="12.75" customHeight="1">
      <c r="A2" s="66"/>
      <c r="B2" s="66"/>
      <c r="C2" s="66"/>
      <c r="D2" s="66"/>
      <c r="E2" s="66"/>
      <c r="F2" s="66"/>
      <c r="G2" s="66"/>
      <c r="H2" s="66"/>
      <c r="I2" s="66"/>
      <c r="J2" s="66"/>
      <c r="K2" s="66"/>
      <c r="L2" s="66"/>
      <c r="M2" s="66"/>
      <c r="N2" s="66"/>
      <c r="O2" s="66"/>
      <c r="P2" s="66"/>
      <c r="Q2" s="66"/>
      <c r="R2" s="66"/>
      <c r="S2" s="66"/>
      <c r="T2" s="66"/>
      <c r="U2" s="66"/>
      <c r="V2" s="66"/>
      <c r="W2" s="66"/>
      <c r="X2" s="66"/>
      <c r="Y2" s="66"/>
      <c r="Z2" s="66"/>
    </row>
    <row r="3" ht="31.5" customHeight="1">
      <c r="A3" s="67" t="s">
        <v>132</v>
      </c>
      <c r="B3" s="28"/>
      <c r="C3" s="28"/>
      <c r="D3" s="29"/>
      <c r="E3" s="66"/>
      <c r="F3" s="66"/>
      <c r="G3" s="66"/>
      <c r="H3" s="66"/>
      <c r="I3" s="66"/>
      <c r="J3" s="66"/>
      <c r="K3" s="66"/>
      <c r="L3" s="66"/>
      <c r="M3" s="66"/>
      <c r="N3" s="66"/>
      <c r="O3" s="66"/>
      <c r="P3" s="66"/>
      <c r="Q3" s="66"/>
      <c r="R3" s="66"/>
      <c r="S3" s="66"/>
      <c r="T3" s="66"/>
      <c r="U3" s="66"/>
      <c r="V3" s="66"/>
      <c r="W3" s="66"/>
      <c r="X3" s="66"/>
      <c r="Y3" s="66"/>
      <c r="Z3" s="66"/>
    </row>
    <row r="4" ht="12.75" customHeight="1">
      <c r="A4" s="66"/>
      <c r="B4" s="66"/>
      <c r="C4" s="66"/>
      <c r="D4" s="66"/>
      <c r="E4" s="66"/>
      <c r="F4" s="66"/>
      <c r="G4" s="66"/>
      <c r="H4" s="66"/>
      <c r="I4" s="66"/>
      <c r="J4" s="66"/>
      <c r="K4" s="66"/>
      <c r="L4" s="66"/>
      <c r="M4" s="66"/>
      <c r="N4" s="66"/>
      <c r="O4" s="66"/>
      <c r="P4" s="66"/>
      <c r="Q4" s="66"/>
      <c r="R4" s="66"/>
      <c r="S4" s="66"/>
      <c r="T4" s="66"/>
      <c r="U4" s="66"/>
      <c r="V4" s="66"/>
      <c r="W4" s="66"/>
      <c r="X4" s="66"/>
      <c r="Y4" s="66"/>
      <c r="Z4" s="66"/>
    </row>
    <row r="5" ht="12.75" customHeight="1">
      <c r="A5" s="68" t="s">
        <v>133</v>
      </c>
      <c r="B5" s="28"/>
      <c r="C5" s="28"/>
      <c r="D5" s="29"/>
      <c r="E5" s="66"/>
      <c r="F5" s="66"/>
      <c r="G5" s="66"/>
      <c r="H5" s="66"/>
      <c r="I5" s="66"/>
      <c r="J5" s="66"/>
      <c r="K5" s="66"/>
      <c r="L5" s="66"/>
      <c r="M5" s="66"/>
      <c r="N5" s="66"/>
      <c r="O5" s="66"/>
      <c r="P5" s="66"/>
      <c r="Q5" s="66"/>
      <c r="R5" s="66"/>
      <c r="S5" s="66"/>
      <c r="T5" s="66"/>
      <c r="U5" s="66"/>
      <c r="V5" s="66"/>
      <c r="W5" s="66"/>
      <c r="X5" s="66"/>
      <c r="Y5" s="66"/>
      <c r="Z5" s="66"/>
    </row>
    <row r="6" ht="12.75" customHeight="1">
      <c r="A6" s="69" t="s">
        <v>134</v>
      </c>
      <c r="B6" s="70" t="s">
        <v>135</v>
      </c>
      <c r="C6" s="66"/>
      <c r="D6" s="71"/>
      <c r="E6" s="66"/>
      <c r="F6" s="66"/>
      <c r="G6" s="66"/>
      <c r="H6" s="66"/>
      <c r="I6" s="66"/>
      <c r="J6" s="66"/>
      <c r="K6" s="66"/>
      <c r="L6" s="66"/>
      <c r="M6" s="66"/>
      <c r="N6" s="66"/>
      <c r="O6" s="66"/>
      <c r="P6" s="66"/>
      <c r="Q6" s="66"/>
      <c r="R6" s="66"/>
      <c r="S6" s="66"/>
      <c r="T6" s="66"/>
      <c r="U6" s="66"/>
      <c r="V6" s="66"/>
      <c r="W6" s="66"/>
      <c r="X6" s="66"/>
      <c r="Y6" s="66"/>
      <c r="Z6" s="66"/>
    </row>
    <row r="7" ht="12.75" customHeight="1">
      <c r="A7" s="69" t="s">
        <v>136</v>
      </c>
      <c r="B7" s="70" t="s">
        <v>152</v>
      </c>
      <c r="C7" s="66"/>
      <c r="D7" s="71"/>
      <c r="E7" s="66"/>
      <c r="F7" s="66"/>
      <c r="G7" s="66"/>
      <c r="H7" s="66"/>
      <c r="I7" s="66"/>
      <c r="J7" s="66"/>
      <c r="K7" s="66"/>
      <c r="L7" s="66"/>
      <c r="M7" s="66"/>
      <c r="N7" s="66"/>
      <c r="O7" s="66"/>
      <c r="P7" s="66"/>
      <c r="Q7" s="66"/>
      <c r="R7" s="66"/>
      <c r="S7" s="66"/>
      <c r="T7" s="66"/>
      <c r="U7" s="66"/>
      <c r="V7" s="66"/>
      <c r="W7" s="66"/>
      <c r="X7" s="66"/>
      <c r="Y7" s="66"/>
      <c r="Z7" s="66"/>
    </row>
    <row r="8" ht="12.75" customHeight="1">
      <c r="A8" s="69" t="s">
        <v>137</v>
      </c>
      <c r="B8" s="70" t="s">
        <v>138</v>
      </c>
      <c r="C8" s="66"/>
      <c r="D8" s="71"/>
      <c r="E8" s="66"/>
      <c r="F8" s="66"/>
      <c r="G8" s="66"/>
      <c r="H8" s="66"/>
      <c r="I8" s="66"/>
      <c r="J8" s="66"/>
      <c r="K8" s="66"/>
      <c r="L8" s="66"/>
      <c r="M8" s="66"/>
      <c r="N8" s="66"/>
      <c r="O8" s="66"/>
      <c r="P8" s="66"/>
      <c r="Q8" s="66"/>
      <c r="R8" s="66"/>
      <c r="S8" s="66"/>
      <c r="T8" s="66"/>
      <c r="U8" s="66"/>
      <c r="V8" s="66"/>
      <c r="W8" s="66"/>
      <c r="X8" s="66"/>
      <c r="Y8" s="66"/>
      <c r="Z8" s="66"/>
    </row>
    <row r="9" ht="12.75" customHeight="1">
      <c r="A9" s="72"/>
      <c r="B9" s="66"/>
      <c r="C9" s="66"/>
      <c r="D9" s="71"/>
      <c r="E9" s="66"/>
      <c r="F9" s="66"/>
      <c r="G9" s="66"/>
      <c r="H9" s="66"/>
      <c r="I9" s="66"/>
      <c r="J9" s="66"/>
      <c r="K9" s="66"/>
      <c r="L9" s="66"/>
      <c r="M9" s="66"/>
      <c r="N9" s="66"/>
      <c r="O9" s="66"/>
      <c r="P9" s="66"/>
      <c r="Q9" s="66"/>
      <c r="R9" s="66"/>
      <c r="S9" s="66"/>
      <c r="T9" s="66"/>
      <c r="U9" s="66"/>
      <c r="V9" s="66"/>
      <c r="W9" s="66"/>
      <c r="X9" s="66"/>
      <c r="Y9" s="66"/>
      <c r="Z9" s="66"/>
    </row>
    <row r="10" ht="12.75" customHeight="1">
      <c r="A10" s="73" t="s">
        <v>139</v>
      </c>
      <c r="B10" s="73" t="s">
        <v>140</v>
      </c>
      <c r="C10" s="73" t="s">
        <v>141</v>
      </c>
      <c r="D10" s="73" t="s">
        <v>153</v>
      </c>
      <c r="E10" s="66"/>
      <c r="F10" s="66"/>
      <c r="G10" s="66"/>
      <c r="H10" s="66"/>
      <c r="I10" s="66"/>
      <c r="J10" s="66"/>
      <c r="K10" s="66"/>
      <c r="L10" s="66"/>
      <c r="M10" s="66"/>
      <c r="N10" s="66"/>
      <c r="O10" s="66"/>
      <c r="P10" s="66"/>
      <c r="Q10" s="66"/>
      <c r="R10" s="66"/>
      <c r="S10" s="66"/>
      <c r="T10" s="66"/>
      <c r="U10" s="66"/>
      <c r="V10" s="66"/>
      <c r="W10" s="66"/>
      <c r="X10" s="66"/>
      <c r="Y10" s="66"/>
      <c r="Z10" s="66"/>
    </row>
    <row r="11" ht="12.75" customHeight="1">
      <c r="A11" s="74" t="s">
        <v>143</v>
      </c>
      <c r="B11" s="75">
        <v>0.0</v>
      </c>
      <c r="C11" s="76">
        <v>0.0</v>
      </c>
      <c r="D11" s="77"/>
      <c r="E11" s="66"/>
      <c r="F11" s="66"/>
      <c r="G11" s="66"/>
      <c r="H11" s="66"/>
      <c r="I11" s="66"/>
      <c r="J11" s="66"/>
      <c r="K11" s="66"/>
      <c r="L11" s="66"/>
      <c r="M11" s="66"/>
      <c r="N11" s="66"/>
      <c r="O11" s="66"/>
      <c r="P11" s="66"/>
      <c r="Q11" s="66"/>
      <c r="R11" s="66"/>
      <c r="S11" s="66"/>
      <c r="T11" s="66"/>
      <c r="U11" s="66"/>
      <c r="V11" s="66"/>
      <c r="W11" s="66"/>
      <c r="X11" s="66"/>
      <c r="Y11" s="66"/>
      <c r="Z11" s="66"/>
    </row>
    <row r="12" ht="12.75" customHeight="1">
      <c r="A12" s="78" t="s">
        <v>79</v>
      </c>
      <c r="B12" s="79">
        <v>0.0</v>
      </c>
      <c r="C12" s="80">
        <v>0.0</v>
      </c>
      <c r="D12" s="81"/>
      <c r="E12" s="66"/>
      <c r="F12" s="66"/>
      <c r="G12" s="66"/>
      <c r="H12" s="66"/>
      <c r="I12" s="66"/>
      <c r="J12" s="66"/>
      <c r="K12" s="66"/>
      <c r="L12" s="66"/>
      <c r="M12" s="66"/>
      <c r="N12" s="66"/>
      <c r="O12" s="66"/>
      <c r="P12" s="66"/>
      <c r="Q12" s="66"/>
      <c r="R12" s="66"/>
      <c r="S12" s="66"/>
      <c r="T12" s="66"/>
      <c r="U12" s="66"/>
      <c r="V12" s="66"/>
      <c r="W12" s="66"/>
      <c r="X12" s="66"/>
      <c r="Y12" s="66"/>
      <c r="Z12" s="66"/>
    </row>
    <row r="13" ht="12.75" customHeight="1">
      <c r="A13" s="78" t="s">
        <v>121</v>
      </c>
      <c r="B13" s="79">
        <v>0.0</v>
      </c>
      <c r="C13" s="80">
        <v>0.0</v>
      </c>
      <c r="D13" s="81"/>
      <c r="E13" s="66"/>
      <c r="F13" s="66"/>
      <c r="G13" s="66"/>
      <c r="H13" s="66"/>
      <c r="I13" s="66"/>
      <c r="J13" s="66"/>
      <c r="K13" s="66"/>
      <c r="L13" s="66"/>
      <c r="M13" s="66"/>
      <c r="N13" s="66"/>
      <c r="O13" s="66"/>
      <c r="P13" s="66"/>
      <c r="Q13" s="66"/>
      <c r="R13" s="66"/>
      <c r="S13" s="66"/>
      <c r="T13" s="66"/>
      <c r="U13" s="66"/>
      <c r="V13" s="66"/>
      <c r="W13" s="66"/>
      <c r="X13" s="66"/>
      <c r="Y13" s="66"/>
      <c r="Z13" s="66"/>
    </row>
    <row r="14" ht="12.75" customHeight="1">
      <c r="A14" s="78" t="s">
        <v>95</v>
      </c>
      <c r="B14" s="79">
        <v>0.0</v>
      </c>
      <c r="C14" s="80">
        <v>0.0</v>
      </c>
      <c r="D14" s="81"/>
      <c r="E14" s="66"/>
      <c r="F14" s="66"/>
      <c r="G14" s="66"/>
      <c r="H14" s="66"/>
      <c r="I14" s="66"/>
      <c r="J14" s="66"/>
      <c r="K14" s="66"/>
      <c r="L14" s="66"/>
      <c r="M14" s="66"/>
      <c r="N14" s="66"/>
      <c r="O14" s="66"/>
      <c r="P14" s="66"/>
      <c r="Q14" s="66"/>
      <c r="R14" s="66"/>
      <c r="S14" s="66"/>
      <c r="T14" s="66"/>
      <c r="U14" s="66"/>
      <c r="V14" s="66"/>
      <c r="W14" s="66"/>
      <c r="X14" s="66"/>
      <c r="Y14" s="66"/>
      <c r="Z14" s="66"/>
    </row>
    <row r="15" ht="12.75" customHeight="1">
      <c r="A15" s="78" t="s">
        <v>144</v>
      </c>
      <c r="B15" s="82">
        <v>0.0</v>
      </c>
      <c r="C15" s="82">
        <v>0.0</v>
      </c>
      <c r="D15" s="81"/>
      <c r="E15" s="66"/>
      <c r="F15" s="66"/>
      <c r="G15" s="66"/>
      <c r="H15" s="66"/>
      <c r="I15" s="66"/>
      <c r="J15" s="66"/>
      <c r="K15" s="66"/>
      <c r="L15" s="66"/>
      <c r="M15" s="66"/>
      <c r="N15" s="66"/>
      <c r="O15" s="66"/>
      <c r="P15" s="66"/>
      <c r="Q15" s="66"/>
      <c r="R15" s="66"/>
      <c r="S15" s="66"/>
      <c r="T15" s="66"/>
      <c r="U15" s="66"/>
      <c r="V15" s="66"/>
      <c r="W15" s="66"/>
      <c r="X15" s="66"/>
      <c r="Y15" s="66"/>
      <c r="Z15" s="66"/>
    </row>
    <row r="16" ht="12.75" customHeight="1">
      <c r="A16" s="83" t="s">
        <v>145</v>
      </c>
      <c r="B16" s="84">
        <f t="shared" ref="B16:C16" si="1">SUM(B11:B15)</f>
        <v>0</v>
      </c>
      <c r="C16" s="85">
        <f t="shared" si="1"/>
        <v>0</v>
      </c>
      <c r="D16" s="86" t="str">
        <f>IF(B16=C16,"PRESUPUESTO VALIDADO","CORREGIR DIFERENCIA")</f>
        <v>PRESUPUESTO VALIDADO</v>
      </c>
      <c r="E16" s="66"/>
      <c r="F16" s="66"/>
      <c r="G16" s="66"/>
      <c r="H16" s="66"/>
      <c r="I16" s="66"/>
      <c r="J16" s="66"/>
      <c r="K16" s="66"/>
      <c r="L16" s="66"/>
      <c r="M16" s="66"/>
      <c r="N16" s="66"/>
      <c r="O16" s="66"/>
      <c r="P16" s="66"/>
      <c r="Q16" s="66"/>
      <c r="R16" s="66"/>
      <c r="S16" s="66"/>
      <c r="T16" s="66"/>
      <c r="U16" s="66"/>
      <c r="V16" s="66"/>
      <c r="W16" s="66"/>
      <c r="X16" s="66"/>
      <c r="Y16" s="66"/>
      <c r="Z16" s="66"/>
    </row>
    <row r="17" ht="12.75" customHeight="1">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row>
    <row r="18" ht="12.75" customHeight="1">
      <c r="A18" s="68" t="s">
        <v>146</v>
      </c>
      <c r="B18" s="28"/>
      <c r="C18" s="28"/>
      <c r="D18" s="29"/>
      <c r="E18" s="66"/>
      <c r="F18" s="66"/>
      <c r="G18" s="66"/>
      <c r="H18" s="66"/>
      <c r="I18" s="66"/>
      <c r="J18" s="66"/>
      <c r="K18" s="66"/>
      <c r="L18" s="66"/>
      <c r="M18" s="66"/>
      <c r="N18" s="66"/>
      <c r="O18" s="66"/>
      <c r="P18" s="66"/>
      <c r="Q18" s="66"/>
      <c r="R18" s="66"/>
      <c r="S18" s="66"/>
      <c r="T18" s="66"/>
      <c r="U18" s="66"/>
      <c r="V18" s="66"/>
      <c r="W18" s="66"/>
      <c r="X18" s="66"/>
      <c r="Y18" s="66"/>
      <c r="Z18" s="66"/>
    </row>
    <row r="19" ht="12.75" customHeight="1">
      <c r="A19" s="69" t="s">
        <v>134</v>
      </c>
      <c r="B19" s="70" t="s">
        <v>135</v>
      </c>
      <c r="C19" s="66"/>
      <c r="D19" s="71"/>
      <c r="E19" s="66"/>
      <c r="F19" s="66"/>
      <c r="G19" s="66"/>
      <c r="H19" s="66"/>
      <c r="I19" s="66"/>
      <c r="J19" s="66"/>
      <c r="K19" s="66"/>
      <c r="L19" s="66"/>
      <c r="M19" s="66"/>
      <c r="N19" s="66"/>
      <c r="O19" s="66"/>
      <c r="P19" s="66"/>
      <c r="Q19" s="66"/>
      <c r="R19" s="66"/>
      <c r="S19" s="66"/>
      <c r="T19" s="66"/>
      <c r="U19" s="66"/>
      <c r="V19" s="66"/>
      <c r="W19" s="66"/>
      <c r="X19" s="66"/>
      <c r="Y19" s="66"/>
      <c r="Z19" s="66"/>
    </row>
    <row r="20" ht="12.75" customHeight="1">
      <c r="A20" s="69" t="s">
        <v>136</v>
      </c>
      <c r="B20" s="70" t="s">
        <v>152</v>
      </c>
      <c r="C20" s="66"/>
      <c r="D20" s="71"/>
      <c r="E20" s="66"/>
      <c r="F20" s="66"/>
      <c r="G20" s="66"/>
      <c r="H20" s="66"/>
      <c r="I20" s="66"/>
      <c r="J20" s="66"/>
      <c r="K20" s="66"/>
      <c r="L20" s="66"/>
      <c r="M20" s="66"/>
      <c r="N20" s="66"/>
      <c r="O20" s="66"/>
      <c r="P20" s="66"/>
      <c r="Q20" s="66"/>
      <c r="R20" s="66"/>
      <c r="S20" s="66"/>
      <c r="T20" s="66"/>
      <c r="U20" s="66"/>
      <c r="V20" s="66"/>
      <c r="W20" s="66"/>
      <c r="X20" s="66"/>
      <c r="Y20" s="66"/>
      <c r="Z20" s="66"/>
    </row>
    <row r="21" ht="12.75" customHeight="1">
      <c r="A21" s="69" t="s">
        <v>137</v>
      </c>
      <c r="B21" s="70" t="s">
        <v>138</v>
      </c>
      <c r="C21" s="66"/>
      <c r="D21" s="71"/>
      <c r="E21" s="66"/>
      <c r="F21" s="66"/>
      <c r="G21" s="66"/>
      <c r="H21" s="66"/>
      <c r="I21" s="66"/>
      <c r="J21" s="66"/>
      <c r="K21" s="66"/>
      <c r="L21" s="66"/>
      <c r="M21" s="66"/>
      <c r="N21" s="66"/>
      <c r="O21" s="66"/>
      <c r="P21" s="66"/>
      <c r="Q21" s="66"/>
      <c r="R21" s="66"/>
      <c r="S21" s="66"/>
      <c r="T21" s="66"/>
      <c r="U21" s="66"/>
      <c r="V21" s="66"/>
      <c r="W21" s="66"/>
      <c r="X21" s="66"/>
      <c r="Y21" s="66"/>
      <c r="Z21" s="66"/>
    </row>
    <row r="22" ht="12.75" customHeight="1">
      <c r="A22" s="72"/>
      <c r="B22" s="66"/>
      <c r="C22" s="66"/>
      <c r="D22" s="71"/>
      <c r="E22" s="66"/>
      <c r="F22" s="66"/>
      <c r="G22" s="66"/>
      <c r="H22" s="66"/>
      <c r="I22" s="66"/>
      <c r="J22" s="66"/>
      <c r="K22" s="66"/>
      <c r="L22" s="66"/>
      <c r="M22" s="66"/>
      <c r="N22" s="66"/>
      <c r="O22" s="66"/>
      <c r="P22" s="66"/>
      <c r="Q22" s="66"/>
      <c r="R22" s="66"/>
      <c r="S22" s="66"/>
      <c r="T22" s="66"/>
      <c r="U22" s="66"/>
      <c r="V22" s="66"/>
      <c r="W22" s="66"/>
      <c r="X22" s="66"/>
      <c r="Y22" s="66"/>
      <c r="Z22" s="66"/>
    </row>
    <row r="23" ht="12.75" customHeight="1">
      <c r="A23" s="73" t="s">
        <v>139</v>
      </c>
      <c r="B23" s="73" t="s">
        <v>140</v>
      </c>
      <c r="C23" s="73" t="s">
        <v>141</v>
      </c>
      <c r="D23" s="73" t="s">
        <v>154</v>
      </c>
      <c r="E23" s="66"/>
      <c r="F23" s="66"/>
      <c r="G23" s="66"/>
      <c r="H23" s="66"/>
      <c r="I23" s="66"/>
      <c r="J23" s="66"/>
      <c r="K23" s="66"/>
      <c r="L23" s="66"/>
      <c r="M23" s="66"/>
      <c r="N23" s="66"/>
      <c r="O23" s="66"/>
      <c r="P23" s="66"/>
      <c r="Q23" s="66"/>
      <c r="R23" s="66"/>
      <c r="S23" s="66"/>
      <c r="T23" s="66"/>
      <c r="U23" s="66"/>
      <c r="V23" s="66"/>
      <c r="W23" s="66"/>
      <c r="X23" s="66"/>
      <c r="Y23" s="66"/>
      <c r="Z23" s="66"/>
    </row>
    <row r="24" ht="12.75" customHeight="1">
      <c r="A24" s="74" t="s">
        <v>143</v>
      </c>
      <c r="B24" s="75"/>
      <c r="C24" s="76"/>
      <c r="D24" s="77"/>
      <c r="E24" s="66"/>
      <c r="F24" s="66"/>
      <c r="G24" s="66"/>
      <c r="H24" s="66"/>
      <c r="I24" s="66"/>
      <c r="J24" s="66"/>
      <c r="K24" s="66"/>
      <c r="L24" s="66"/>
      <c r="M24" s="66"/>
      <c r="N24" s="66"/>
      <c r="O24" s="66"/>
      <c r="P24" s="66"/>
      <c r="Q24" s="66"/>
      <c r="R24" s="66"/>
      <c r="S24" s="66"/>
      <c r="T24" s="66"/>
      <c r="U24" s="66"/>
      <c r="V24" s="66"/>
      <c r="W24" s="66"/>
      <c r="X24" s="66"/>
      <c r="Y24" s="66"/>
      <c r="Z24" s="66"/>
    </row>
    <row r="25" ht="12.75" customHeight="1">
      <c r="A25" s="78" t="s">
        <v>79</v>
      </c>
      <c r="B25" s="79"/>
      <c r="C25" s="80"/>
      <c r="D25" s="81"/>
      <c r="E25" s="66"/>
      <c r="F25" s="66"/>
      <c r="G25" s="66"/>
      <c r="H25" s="66"/>
      <c r="I25" s="66"/>
      <c r="J25" s="66"/>
      <c r="K25" s="66"/>
      <c r="L25" s="66"/>
      <c r="M25" s="66"/>
      <c r="N25" s="66"/>
      <c r="O25" s="66"/>
      <c r="P25" s="66"/>
      <c r="Q25" s="66"/>
      <c r="R25" s="66"/>
      <c r="S25" s="66"/>
      <c r="T25" s="66"/>
      <c r="U25" s="66"/>
      <c r="V25" s="66"/>
      <c r="W25" s="66"/>
      <c r="X25" s="66"/>
      <c r="Y25" s="66"/>
      <c r="Z25" s="66"/>
    </row>
    <row r="26" ht="12.75" customHeight="1">
      <c r="A26" s="78" t="s">
        <v>121</v>
      </c>
      <c r="B26" s="79"/>
      <c r="C26" s="80"/>
      <c r="D26" s="81"/>
      <c r="E26" s="66"/>
      <c r="F26" s="66"/>
      <c r="G26" s="66"/>
      <c r="H26" s="66"/>
      <c r="I26" s="66"/>
      <c r="J26" s="66"/>
      <c r="K26" s="66"/>
      <c r="L26" s="66"/>
      <c r="M26" s="66"/>
      <c r="N26" s="66"/>
      <c r="O26" s="66"/>
      <c r="P26" s="66"/>
      <c r="Q26" s="66"/>
      <c r="R26" s="66"/>
      <c r="S26" s="66"/>
      <c r="T26" s="66"/>
      <c r="U26" s="66"/>
      <c r="V26" s="66"/>
      <c r="W26" s="66"/>
      <c r="X26" s="66"/>
      <c r="Y26" s="66"/>
      <c r="Z26" s="66"/>
    </row>
    <row r="27" ht="12.75" customHeight="1">
      <c r="A27" s="78" t="s">
        <v>95</v>
      </c>
      <c r="B27" s="79"/>
      <c r="C27" s="80"/>
      <c r="D27" s="81"/>
      <c r="E27" s="66"/>
      <c r="F27" s="66"/>
      <c r="G27" s="66"/>
      <c r="H27" s="66"/>
      <c r="I27" s="66"/>
      <c r="J27" s="66"/>
      <c r="K27" s="66"/>
      <c r="L27" s="66"/>
      <c r="M27" s="66"/>
      <c r="N27" s="66"/>
      <c r="O27" s="66"/>
      <c r="P27" s="66"/>
      <c r="Q27" s="66"/>
      <c r="R27" s="66"/>
      <c r="S27" s="66"/>
      <c r="T27" s="66"/>
      <c r="U27" s="66"/>
      <c r="V27" s="66"/>
      <c r="W27" s="66"/>
      <c r="X27" s="66"/>
      <c r="Y27" s="66"/>
      <c r="Z27" s="66"/>
    </row>
    <row r="28" ht="12.75" customHeight="1">
      <c r="A28" s="78" t="s">
        <v>144</v>
      </c>
      <c r="B28" s="82"/>
      <c r="C28" s="82"/>
      <c r="D28" s="81"/>
      <c r="E28" s="66"/>
      <c r="F28" s="66"/>
      <c r="G28" s="66"/>
      <c r="H28" s="66"/>
      <c r="I28" s="66"/>
      <c r="J28" s="66"/>
      <c r="K28" s="66"/>
      <c r="L28" s="66"/>
      <c r="M28" s="66"/>
      <c r="N28" s="66"/>
      <c r="O28" s="66"/>
      <c r="P28" s="66"/>
      <c r="Q28" s="66"/>
      <c r="R28" s="66"/>
      <c r="S28" s="66"/>
      <c r="T28" s="66"/>
      <c r="U28" s="66"/>
      <c r="V28" s="66"/>
      <c r="W28" s="66"/>
      <c r="X28" s="66"/>
      <c r="Y28" s="66"/>
      <c r="Z28" s="66"/>
    </row>
    <row r="29" ht="12.75" customHeight="1">
      <c r="A29" s="83" t="s">
        <v>145</v>
      </c>
      <c r="B29" s="84">
        <f t="shared" ref="B29:C29" si="2">SUM(B24:B28)</f>
        <v>0</v>
      </c>
      <c r="C29" s="85">
        <f t="shared" si="2"/>
        <v>0</v>
      </c>
      <c r="D29" s="86" t="str">
        <f>IF(B29=C29,"PRESUPUESTO VALIDADO","CORREGIR DIFERENCIA")</f>
        <v>PRESUPUESTO VALIDADO</v>
      </c>
      <c r="E29" s="66"/>
      <c r="F29" s="66"/>
      <c r="G29" s="66"/>
      <c r="H29" s="66"/>
      <c r="I29" s="66"/>
      <c r="J29" s="66"/>
      <c r="K29" s="66"/>
      <c r="L29" s="66"/>
      <c r="M29" s="66"/>
      <c r="N29" s="66"/>
      <c r="O29" s="66"/>
      <c r="P29" s="66"/>
      <c r="Q29" s="66"/>
      <c r="R29" s="66"/>
      <c r="S29" s="66"/>
      <c r="T29" s="66"/>
      <c r="U29" s="66"/>
      <c r="V29" s="66"/>
      <c r="W29" s="66"/>
      <c r="X29" s="66"/>
      <c r="Y29" s="66"/>
      <c r="Z29" s="66"/>
    </row>
    <row r="30" ht="12.75" customHeight="1">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row>
    <row r="31" ht="12.75" customHeight="1">
      <c r="A31" s="68" t="s">
        <v>148</v>
      </c>
      <c r="B31" s="28"/>
      <c r="C31" s="28"/>
      <c r="D31" s="29"/>
      <c r="E31" s="66"/>
      <c r="F31" s="66"/>
      <c r="G31" s="66"/>
      <c r="H31" s="66"/>
      <c r="I31" s="66"/>
      <c r="J31" s="66"/>
      <c r="K31" s="66"/>
      <c r="L31" s="66"/>
      <c r="M31" s="66"/>
      <c r="N31" s="66"/>
      <c r="O31" s="66"/>
      <c r="P31" s="66"/>
      <c r="Q31" s="66"/>
      <c r="R31" s="66"/>
      <c r="S31" s="66"/>
      <c r="T31" s="66"/>
      <c r="U31" s="66"/>
      <c r="V31" s="66"/>
      <c r="W31" s="66"/>
      <c r="X31" s="66"/>
      <c r="Y31" s="66"/>
      <c r="Z31" s="66"/>
    </row>
    <row r="32" ht="12.75" customHeight="1">
      <c r="A32" s="69" t="s">
        <v>134</v>
      </c>
      <c r="B32" s="70" t="s">
        <v>135</v>
      </c>
      <c r="C32" s="66"/>
      <c r="D32" s="71"/>
      <c r="E32" s="66"/>
      <c r="F32" s="66"/>
      <c r="G32" s="66"/>
      <c r="H32" s="66"/>
      <c r="I32" s="66"/>
      <c r="J32" s="66"/>
      <c r="K32" s="66"/>
      <c r="L32" s="66"/>
      <c r="M32" s="66"/>
      <c r="N32" s="66"/>
      <c r="O32" s="66"/>
      <c r="P32" s="66"/>
      <c r="Q32" s="66"/>
      <c r="R32" s="66"/>
      <c r="S32" s="66"/>
      <c r="T32" s="66"/>
      <c r="U32" s="66"/>
      <c r="V32" s="66"/>
      <c r="W32" s="66"/>
      <c r="X32" s="66"/>
      <c r="Y32" s="66"/>
      <c r="Z32" s="66"/>
    </row>
    <row r="33" ht="12.75" customHeight="1">
      <c r="A33" s="69" t="s">
        <v>136</v>
      </c>
      <c r="B33" s="70" t="s">
        <v>152</v>
      </c>
      <c r="C33" s="66"/>
      <c r="D33" s="71"/>
      <c r="E33" s="66"/>
      <c r="F33" s="66"/>
      <c r="G33" s="66"/>
      <c r="H33" s="66"/>
      <c r="I33" s="66"/>
      <c r="J33" s="66"/>
      <c r="K33" s="66"/>
      <c r="L33" s="66"/>
      <c r="M33" s="66"/>
      <c r="N33" s="66"/>
      <c r="O33" s="66"/>
      <c r="P33" s="66"/>
      <c r="Q33" s="66"/>
      <c r="R33" s="66"/>
      <c r="S33" s="66"/>
      <c r="T33" s="66"/>
      <c r="U33" s="66"/>
      <c r="V33" s="66"/>
      <c r="W33" s="66"/>
      <c r="X33" s="66"/>
      <c r="Y33" s="66"/>
      <c r="Z33" s="66"/>
    </row>
    <row r="34" ht="12.75" customHeight="1">
      <c r="A34" s="69" t="s">
        <v>137</v>
      </c>
      <c r="B34" s="70" t="s">
        <v>138</v>
      </c>
      <c r="C34" s="66"/>
      <c r="D34" s="71"/>
      <c r="E34" s="66"/>
      <c r="F34" s="66"/>
      <c r="G34" s="66"/>
      <c r="H34" s="66"/>
      <c r="I34" s="66"/>
      <c r="J34" s="66"/>
      <c r="K34" s="66"/>
      <c r="L34" s="66"/>
      <c r="M34" s="66"/>
      <c r="N34" s="66"/>
      <c r="O34" s="66"/>
      <c r="P34" s="66"/>
      <c r="Q34" s="66"/>
      <c r="R34" s="66"/>
      <c r="S34" s="66"/>
      <c r="T34" s="66"/>
      <c r="U34" s="66"/>
      <c r="V34" s="66"/>
      <c r="W34" s="66"/>
      <c r="X34" s="66"/>
      <c r="Y34" s="66"/>
      <c r="Z34" s="66"/>
    </row>
    <row r="35" ht="12.75" customHeight="1">
      <c r="A35" s="72"/>
      <c r="B35" s="66"/>
      <c r="C35" s="66"/>
      <c r="D35" s="71"/>
      <c r="E35" s="66"/>
      <c r="F35" s="66"/>
      <c r="G35" s="66"/>
      <c r="H35" s="66"/>
      <c r="I35" s="66"/>
      <c r="J35" s="66"/>
      <c r="K35" s="66"/>
      <c r="L35" s="66"/>
      <c r="M35" s="66"/>
      <c r="N35" s="66"/>
      <c r="O35" s="66"/>
      <c r="P35" s="66"/>
      <c r="Q35" s="66"/>
      <c r="R35" s="66"/>
      <c r="S35" s="66"/>
      <c r="T35" s="66"/>
      <c r="U35" s="66"/>
      <c r="V35" s="66"/>
      <c r="W35" s="66"/>
      <c r="X35" s="66"/>
      <c r="Y35" s="66"/>
      <c r="Z35" s="66"/>
    </row>
    <row r="36" ht="12.75" customHeight="1">
      <c r="A36" s="73" t="s">
        <v>139</v>
      </c>
      <c r="B36" s="73" t="s">
        <v>140</v>
      </c>
      <c r="C36" s="73" t="s">
        <v>141</v>
      </c>
      <c r="D36" s="73" t="s">
        <v>155</v>
      </c>
      <c r="E36" s="66"/>
      <c r="F36" s="66"/>
      <c r="G36" s="66"/>
      <c r="H36" s="66"/>
      <c r="I36" s="66"/>
      <c r="J36" s="66"/>
      <c r="K36" s="66"/>
      <c r="L36" s="66"/>
      <c r="M36" s="66"/>
      <c r="N36" s="66"/>
      <c r="O36" s="66"/>
      <c r="P36" s="66"/>
      <c r="Q36" s="66"/>
      <c r="R36" s="66"/>
      <c r="S36" s="66"/>
      <c r="T36" s="66"/>
      <c r="U36" s="66"/>
      <c r="V36" s="66"/>
      <c r="W36" s="66"/>
      <c r="X36" s="66"/>
      <c r="Y36" s="66"/>
      <c r="Z36" s="66"/>
    </row>
    <row r="37" ht="12.75" customHeight="1">
      <c r="A37" s="74" t="s">
        <v>143</v>
      </c>
      <c r="B37" s="75">
        <v>0.0</v>
      </c>
      <c r="C37" s="76">
        <v>0.0</v>
      </c>
      <c r="D37" s="77"/>
      <c r="E37" s="66"/>
      <c r="F37" s="66"/>
      <c r="G37" s="66"/>
      <c r="H37" s="66"/>
      <c r="I37" s="66"/>
      <c r="J37" s="66"/>
      <c r="K37" s="66"/>
      <c r="L37" s="66"/>
      <c r="M37" s="66"/>
      <c r="N37" s="66"/>
      <c r="O37" s="66"/>
      <c r="P37" s="66"/>
      <c r="Q37" s="66"/>
      <c r="R37" s="66"/>
      <c r="S37" s="66"/>
      <c r="T37" s="66"/>
      <c r="U37" s="66"/>
      <c r="V37" s="66"/>
      <c r="W37" s="66"/>
      <c r="X37" s="66"/>
      <c r="Y37" s="66"/>
      <c r="Z37" s="66"/>
    </row>
    <row r="38" ht="12.75" customHeight="1">
      <c r="A38" s="78" t="s">
        <v>79</v>
      </c>
      <c r="B38" s="79">
        <v>0.0</v>
      </c>
      <c r="C38" s="80">
        <v>0.0</v>
      </c>
      <c r="D38" s="81"/>
      <c r="E38" s="66"/>
      <c r="F38" s="66"/>
      <c r="G38" s="66"/>
      <c r="H38" s="66"/>
      <c r="I38" s="66"/>
      <c r="J38" s="66"/>
      <c r="K38" s="66"/>
      <c r="L38" s="66"/>
      <c r="M38" s="66"/>
      <c r="N38" s="66"/>
      <c r="O38" s="66"/>
      <c r="P38" s="66"/>
      <c r="Q38" s="66"/>
      <c r="R38" s="66"/>
      <c r="S38" s="66"/>
      <c r="T38" s="66"/>
      <c r="U38" s="66"/>
      <c r="V38" s="66"/>
      <c r="W38" s="66"/>
      <c r="X38" s="66"/>
      <c r="Y38" s="66"/>
      <c r="Z38" s="66"/>
    </row>
    <row r="39" ht="12.75" customHeight="1">
      <c r="A39" s="78" t="s">
        <v>121</v>
      </c>
      <c r="B39" s="79">
        <v>0.0</v>
      </c>
      <c r="C39" s="80">
        <v>0.0</v>
      </c>
      <c r="D39" s="81"/>
      <c r="E39" s="66"/>
      <c r="F39" s="66"/>
      <c r="G39" s="66"/>
      <c r="H39" s="66"/>
      <c r="I39" s="66"/>
      <c r="J39" s="66"/>
      <c r="K39" s="66"/>
      <c r="L39" s="66"/>
      <c r="M39" s="66"/>
      <c r="N39" s="66"/>
      <c r="O39" s="66"/>
      <c r="P39" s="66"/>
      <c r="Q39" s="66"/>
      <c r="R39" s="66"/>
      <c r="S39" s="66"/>
      <c r="T39" s="66"/>
      <c r="U39" s="66"/>
      <c r="V39" s="66"/>
      <c r="W39" s="66"/>
      <c r="X39" s="66"/>
      <c r="Y39" s="66"/>
      <c r="Z39" s="66"/>
    </row>
    <row r="40" ht="12.75" customHeight="1">
      <c r="A40" s="78" t="s">
        <v>95</v>
      </c>
      <c r="B40" s="79">
        <v>0.0</v>
      </c>
      <c r="C40" s="80">
        <v>0.0</v>
      </c>
      <c r="D40" s="81"/>
      <c r="E40" s="66"/>
      <c r="F40" s="66"/>
      <c r="G40" s="66"/>
      <c r="H40" s="66"/>
      <c r="I40" s="66"/>
      <c r="J40" s="66"/>
      <c r="K40" s="66"/>
      <c r="L40" s="66"/>
      <c r="M40" s="66"/>
      <c r="N40" s="66"/>
      <c r="O40" s="66"/>
      <c r="P40" s="66"/>
      <c r="Q40" s="66"/>
      <c r="R40" s="66"/>
      <c r="S40" s="66"/>
      <c r="T40" s="66"/>
      <c r="U40" s="66"/>
      <c r="V40" s="66"/>
      <c r="W40" s="66"/>
      <c r="X40" s="66"/>
      <c r="Y40" s="66"/>
      <c r="Z40" s="66"/>
    </row>
    <row r="41" ht="12.75" customHeight="1">
      <c r="A41" s="78" t="s">
        <v>144</v>
      </c>
      <c r="B41" s="82">
        <v>0.0</v>
      </c>
      <c r="C41" s="82">
        <v>0.0</v>
      </c>
      <c r="D41" s="81"/>
      <c r="E41" s="66"/>
      <c r="F41" s="66"/>
      <c r="G41" s="66"/>
      <c r="H41" s="66"/>
      <c r="I41" s="66"/>
      <c r="J41" s="66"/>
      <c r="K41" s="66"/>
      <c r="L41" s="66"/>
      <c r="M41" s="66"/>
      <c r="N41" s="66"/>
      <c r="O41" s="66"/>
      <c r="P41" s="66"/>
      <c r="Q41" s="66"/>
      <c r="R41" s="66"/>
      <c r="S41" s="66"/>
      <c r="T41" s="66"/>
      <c r="U41" s="66"/>
      <c r="V41" s="66"/>
      <c r="W41" s="66"/>
      <c r="X41" s="66"/>
      <c r="Y41" s="66"/>
      <c r="Z41" s="66"/>
    </row>
    <row r="42" ht="12.75" customHeight="1">
      <c r="A42" s="83" t="s">
        <v>145</v>
      </c>
      <c r="B42" s="84">
        <f t="shared" ref="B42:C42" si="3">SUM(B37:B41)</f>
        <v>0</v>
      </c>
      <c r="C42" s="85">
        <f t="shared" si="3"/>
        <v>0</v>
      </c>
      <c r="D42" s="86" t="str">
        <f>IF(B42=C42,"PRESUPUESTO VALIDADO","CORREGIR DIFERENCIA")</f>
        <v>PRESUPUESTO VALIDADO</v>
      </c>
      <c r="E42" s="66"/>
      <c r="F42" s="66"/>
      <c r="G42" s="66"/>
      <c r="H42" s="66"/>
      <c r="I42" s="66"/>
      <c r="J42" s="66"/>
      <c r="K42" s="66"/>
      <c r="L42" s="66"/>
      <c r="M42" s="66"/>
      <c r="N42" s="66"/>
      <c r="O42" s="66"/>
      <c r="P42" s="66"/>
      <c r="Q42" s="66"/>
      <c r="R42" s="66"/>
      <c r="S42" s="66"/>
      <c r="T42" s="66"/>
      <c r="U42" s="66"/>
      <c r="V42" s="66"/>
      <c r="W42" s="66"/>
      <c r="X42" s="66"/>
      <c r="Y42" s="66"/>
      <c r="Z42" s="66"/>
    </row>
    <row r="43" ht="12.75" customHeight="1">
      <c r="A43" s="87"/>
      <c r="B43" s="88"/>
      <c r="C43" s="88"/>
      <c r="D43" s="89"/>
      <c r="E43" s="66"/>
      <c r="F43" s="66"/>
      <c r="G43" s="66"/>
      <c r="H43" s="66"/>
      <c r="I43" s="66"/>
      <c r="J43" s="66"/>
      <c r="K43" s="66"/>
      <c r="L43" s="66"/>
      <c r="M43" s="66"/>
      <c r="N43" s="66"/>
      <c r="O43" s="66"/>
      <c r="P43" s="66"/>
      <c r="Q43" s="66"/>
      <c r="R43" s="66"/>
      <c r="S43" s="66"/>
      <c r="T43" s="66"/>
      <c r="U43" s="66"/>
      <c r="V43" s="66"/>
      <c r="W43" s="66"/>
      <c r="X43" s="66"/>
      <c r="Y43" s="66"/>
      <c r="Z43" s="66"/>
    </row>
    <row r="44" ht="12.75" customHeight="1">
      <c r="A44" s="68" t="s">
        <v>150</v>
      </c>
      <c r="B44" s="28"/>
      <c r="C44" s="28"/>
      <c r="D44" s="29"/>
      <c r="E44" s="66"/>
      <c r="F44" s="66"/>
      <c r="G44" s="66"/>
      <c r="H44" s="66"/>
      <c r="I44" s="66"/>
      <c r="J44" s="66"/>
      <c r="K44" s="66"/>
      <c r="L44" s="66"/>
      <c r="M44" s="66"/>
      <c r="N44" s="66"/>
      <c r="O44" s="66"/>
      <c r="P44" s="66"/>
      <c r="Q44" s="66"/>
      <c r="R44" s="66"/>
      <c r="S44" s="66"/>
      <c r="T44" s="66"/>
      <c r="U44" s="66"/>
      <c r="V44" s="66"/>
      <c r="W44" s="66"/>
      <c r="X44" s="66"/>
      <c r="Y44" s="66"/>
      <c r="Z44" s="66"/>
    </row>
    <row r="45" ht="12.75" customHeight="1">
      <c r="A45" s="69" t="s">
        <v>134</v>
      </c>
      <c r="B45" s="70" t="s">
        <v>135</v>
      </c>
      <c r="C45" s="66"/>
      <c r="D45" s="71"/>
      <c r="E45" s="66"/>
      <c r="F45" s="66"/>
      <c r="G45" s="66"/>
      <c r="H45" s="66"/>
      <c r="I45" s="66"/>
      <c r="J45" s="66"/>
      <c r="K45" s="66"/>
      <c r="L45" s="66"/>
      <c r="M45" s="66"/>
      <c r="N45" s="66"/>
      <c r="O45" s="66"/>
      <c r="P45" s="66"/>
      <c r="Q45" s="66"/>
      <c r="R45" s="66"/>
      <c r="S45" s="66"/>
      <c r="T45" s="66"/>
      <c r="U45" s="66"/>
      <c r="V45" s="66"/>
      <c r="W45" s="66"/>
      <c r="X45" s="66"/>
      <c r="Y45" s="66"/>
      <c r="Z45" s="66"/>
    </row>
    <row r="46" ht="12.75" customHeight="1">
      <c r="A46" s="69" t="s">
        <v>136</v>
      </c>
      <c r="B46" s="70" t="s">
        <v>152</v>
      </c>
      <c r="C46" s="66"/>
      <c r="D46" s="71"/>
      <c r="E46" s="66"/>
      <c r="F46" s="66"/>
      <c r="G46" s="66"/>
      <c r="H46" s="66"/>
      <c r="I46" s="66"/>
      <c r="J46" s="66"/>
      <c r="K46" s="66"/>
      <c r="L46" s="66"/>
      <c r="M46" s="66"/>
      <c r="N46" s="66"/>
      <c r="O46" s="66"/>
      <c r="P46" s="66"/>
      <c r="Q46" s="66"/>
      <c r="R46" s="66"/>
      <c r="S46" s="66"/>
      <c r="T46" s="66"/>
      <c r="U46" s="66"/>
      <c r="V46" s="66"/>
      <c r="W46" s="66"/>
      <c r="X46" s="66"/>
      <c r="Y46" s="66"/>
      <c r="Z46" s="66"/>
    </row>
    <row r="47" ht="12.75" customHeight="1">
      <c r="A47" s="69" t="s">
        <v>137</v>
      </c>
      <c r="B47" s="70" t="s">
        <v>138</v>
      </c>
      <c r="C47" s="66"/>
      <c r="D47" s="71"/>
      <c r="E47" s="66"/>
      <c r="F47" s="66"/>
      <c r="G47" s="66"/>
      <c r="H47" s="66"/>
      <c r="I47" s="66"/>
      <c r="J47" s="66"/>
      <c r="K47" s="66"/>
      <c r="L47" s="66"/>
      <c r="M47" s="66"/>
      <c r="N47" s="66"/>
      <c r="O47" s="66"/>
      <c r="P47" s="66"/>
      <c r="Q47" s="66"/>
      <c r="R47" s="66"/>
      <c r="S47" s="66"/>
      <c r="T47" s="66"/>
      <c r="U47" s="66"/>
      <c r="V47" s="66"/>
      <c r="W47" s="66"/>
      <c r="X47" s="66"/>
      <c r="Y47" s="66"/>
      <c r="Z47" s="66"/>
    </row>
    <row r="48" ht="12.75" customHeight="1">
      <c r="A48" s="72"/>
      <c r="B48" s="66"/>
      <c r="C48" s="66"/>
      <c r="D48" s="71"/>
      <c r="E48" s="66"/>
      <c r="F48" s="66"/>
      <c r="G48" s="66"/>
      <c r="H48" s="66"/>
      <c r="I48" s="66"/>
      <c r="J48" s="66"/>
      <c r="K48" s="66"/>
      <c r="L48" s="66"/>
      <c r="M48" s="66"/>
      <c r="N48" s="66"/>
      <c r="O48" s="66"/>
      <c r="P48" s="66"/>
      <c r="Q48" s="66"/>
      <c r="R48" s="66"/>
      <c r="S48" s="66"/>
      <c r="T48" s="66"/>
      <c r="U48" s="66"/>
      <c r="V48" s="66"/>
      <c r="W48" s="66"/>
      <c r="X48" s="66"/>
      <c r="Y48" s="66"/>
      <c r="Z48" s="66"/>
    </row>
    <row r="49" ht="12.75" customHeight="1">
      <c r="A49" s="73" t="s">
        <v>139</v>
      </c>
      <c r="B49" s="73" t="s">
        <v>140</v>
      </c>
      <c r="C49" s="73" t="s">
        <v>141</v>
      </c>
      <c r="D49" s="73" t="s">
        <v>156</v>
      </c>
      <c r="E49" s="66"/>
      <c r="F49" s="66"/>
      <c r="G49" s="66"/>
      <c r="H49" s="66"/>
      <c r="I49" s="66"/>
      <c r="J49" s="66"/>
      <c r="K49" s="66"/>
      <c r="L49" s="66"/>
      <c r="M49" s="66"/>
      <c r="N49" s="66"/>
      <c r="O49" s="66"/>
      <c r="P49" s="66"/>
      <c r="Q49" s="66"/>
      <c r="R49" s="66"/>
      <c r="S49" s="66"/>
      <c r="T49" s="66"/>
      <c r="U49" s="66"/>
      <c r="V49" s="66"/>
      <c r="W49" s="66"/>
      <c r="X49" s="66"/>
      <c r="Y49" s="66"/>
      <c r="Z49" s="66"/>
    </row>
    <row r="50" ht="12.75" customHeight="1">
      <c r="A50" s="74" t="s">
        <v>143</v>
      </c>
      <c r="B50" s="75">
        <v>0.0</v>
      </c>
      <c r="C50" s="76">
        <v>0.0</v>
      </c>
      <c r="D50" s="77"/>
      <c r="E50" s="66"/>
      <c r="F50" s="66"/>
      <c r="G50" s="66"/>
      <c r="H50" s="66"/>
      <c r="I50" s="66"/>
      <c r="J50" s="66"/>
      <c r="K50" s="66"/>
      <c r="L50" s="66"/>
      <c r="M50" s="66"/>
      <c r="N50" s="66"/>
      <c r="O50" s="66"/>
      <c r="P50" s="66"/>
      <c r="Q50" s="66"/>
      <c r="R50" s="66"/>
      <c r="S50" s="66"/>
      <c r="T50" s="66"/>
      <c r="U50" s="66"/>
      <c r="V50" s="66"/>
      <c r="W50" s="66"/>
      <c r="X50" s="66"/>
      <c r="Y50" s="66"/>
      <c r="Z50" s="66"/>
    </row>
    <row r="51" ht="12.75" customHeight="1">
      <c r="A51" s="78" t="s">
        <v>79</v>
      </c>
      <c r="B51" s="79">
        <v>0.0</v>
      </c>
      <c r="C51" s="80">
        <v>0.0</v>
      </c>
      <c r="D51" s="81"/>
      <c r="E51" s="66"/>
      <c r="F51" s="66"/>
      <c r="G51" s="66"/>
      <c r="H51" s="66"/>
      <c r="I51" s="66"/>
      <c r="J51" s="66"/>
      <c r="K51" s="66"/>
      <c r="L51" s="66"/>
      <c r="M51" s="66"/>
      <c r="N51" s="66"/>
      <c r="O51" s="66"/>
      <c r="P51" s="66"/>
      <c r="Q51" s="66"/>
      <c r="R51" s="66"/>
      <c r="S51" s="66"/>
      <c r="T51" s="66"/>
      <c r="U51" s="66"/>
      <c r="V51" s="66"/>
      <c r="W51" s="66"/>
      <c r="X51" s="66"/>
      <c r="Y51" s="66"/>
      <c r="Z51" s="66"/>
    </row>
    <row r="52" ht="12.75" customHeight="1">
      <c r="A52" s="78" t="s">
        <v>121</v>
      </c>
      <c r="B52" s="79">
        <v>0.0</v>
      </c>
      <c r="C52" s="80">
        <v>0.0</v>
      </c>
      <c r="D52" s="81"/>
      <c r="E52" s="66"/>
      <c r="F52" s="66"/>
      <c r="G52" s="66"/>
      <c r="H52" s="66"/>
      <c r="I52" s="66"/>
      <c r="J52" s="66"/>
      <c r="K52" s="66"/>
      <c r="L52" s="66"/>
      <c r="M52" s="66"/>
      <c r="N52" s="66"/>
      <c r="O52" s="66"/>
      <c r="P52" s="66"/>
      <c r="Q52" s="66"/>
      <c r="R52" s="66"/>
      <c r="S52" s="66"/>
      <c r="T52" s="66"/>
      <c r="U52" s="66"/>
      <c r="V52" s="66"/>
      <c r="W52" s="66"/>
      <c r="X52" s="66"/>
      <c r="Y52" s="66"/>
      <c r="Z52" s="66"/>
    </row>
    <row r="53" ht="12.75" customHeight="1">
      <c r="A53" s="78" t="s">
        <v>95</v>
      </c>
      <c r="B53" s="79">
        <v>0.0</v>
      </c>
      <c r="C53" s="80">
        <v>0.0</v>
      </c>
      <c r="D53" s="81"/>
      <c r="E53" s="66"/>
      <c r="F53" s="66"/>
      <c r="G53" s="66"/>
      <c r="H53" s="66"/>
      <c r="I53" s="66"/>
      <c r="J53" s="66"/>
      <c r="K53" s="66"/>
      <c r="L53" s="66"/>
      <c r="M53" s="66"/>
      <c r="N53" s="66"/>
      <c r="O53" s="66"/>
      <c r="P53" s="66"/>
      <c r="Q53" s="66"/>
      <c r="R53" s="66"/>
      <c r="S53" s="66"/>
      <c r="T53" s="66"/>
      <c r="U53" s="66"/>
      <c r="V53" s="66"/>
      <c r="W53" s="66"/>
      <c r="X53" s="66"/>
      <c r="Y53" s="66"/>
      <c r="Z53" s="66"/>
    </row>
    <row r="54" ht="12.75" customHeight="1">
      <c r="A54" s="78" t="s">
        <v>144</v>
      </c>
      <c r="B54" s="82">
        <v>0.0</v>
      </c>
      <c r="C54" s="82">
        <v>0.0</v>
      </c>
      <c r="D54" s="81"/>
      <c r="E54" s="66"/>
      <c r="F54" s="66"/>
      <c r="G54" s="66"/>
      <c r="H54" s="66"/>
      <c r="I54" s="66"/>
      <c r="J54" s="66"/>
      <c r="K54" s="66"/>
      <c r="L54" s="66"/>
      <c r="M54" s="66"/>
      <c r="N54" s="66"/>
      <c r="O54" s="66"/>
      <c r="P54" s="66"/>
      <c r="Q54" s="66"/>
      <c r="R54" s="66"/>
      <c r="S54" s="66"/>
      <c r="T54" s="66"/>
      <c r="U54" s="66"/>
      <c r="V54" s="66"/>
      <c r="W54" s="66"/>
      <c r="X54" s="66"/>
      <c r="Y54" s="66"/>
      <c r="Z54" s="66"/>
    </row>
    <row r="55" ht="12.75" customHeight="1">
      <c r="A55" s="83" t="s">
        <v>145</v>
      </c>
      <c r="B55" s="84">
        <f t="shared" ref="B55:C55" si="4">SUM(B50:B54)</f>
        <v>0</v>
      </c>
      <c r="C55" s="85">
        <f t="shared" si="4"/>
        <v>0</v>
      </c>
      <c r="D55" s="86" t="str">
        <f>IF(B55=C55,"PRESUPUESTO VALIDADO","CORREGIR DIFERENCIA")</f>
        <v>PRESUPUESTO VALIDADO</v>
      </c>
      <c r="E55" s="66"/>
      <c r="F55" s="66"/>
      <c r="G55" s="66"/>
      <c r="H55" s="66"/>
      <c r="I55" s="66"/>
      <c r="J55" s="66"/>
      <c r="K55" s="66"/>
      <c r="L55" s="66"/>
      <c r="M55" s="66"/>
      <c r="N55" s="66"/>
      <c r="O55" s="66"/>
      <c r="P55" s="66"/>
      <c r="Q55" s="66"/>
      <c r="R55" s="66"/>
      <c r="S55" s="66"/>
      <c r="T55" s="66"/>
      <c r="U55" s="66"/>
      <c r="V55" s="66"/>
      <c r="W55" s="66"/>
      <c r="X55" s="66"/>
      <c r="Y55" s="66"/>
      <c r="Z55" s="66"/>
    </row>
    <row r="56" ht="12.75" customHeight="1">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ht="12.75" customHeight="1">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ht="12.75" customHeight="1">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ht="12.75" customHeight="1">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ht="12.75" customHeight="1">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ht="12.75" customHeight="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ht="12.75" customHeight="1">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ht="12.75" customHeight="1">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ht="12.75" customHeight="1">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ht="12.75" customHeight="1">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ht="12.75" customHeight="1">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ht="12.75" customHeight="1">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ht="12.75" customHeight="1">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ht="12.75" customHeight="1">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ht="12.75" customHeight="1">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ht="12.75" customHeight="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ht="12.75" customHeight="1">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ht="12.75" customHeight="1">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ht="12.75" customHeight="1">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ht="12.75" customHeight="1">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ht="12.75" customHeight="1">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ht="12.75" customHeight="1">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ht="12.75" customHeight="1">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ht="12.75" customHeight="1">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ht="12.75" customHeight="1">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ht="12.75" customHeight="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ht="12.75" customHeight="1">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ht="12.75" customHeight="1">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ht="12.75" customHeight="1">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ht="12.75" customHeight="1">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ht="12.75" customHeight="1">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ht="12.75" customHeight="1">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ht="12.75" customHeight="1">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ht="12.75" customHeight="1">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ht="12.75" customHeight="1">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ht="12.75" customHeight="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ht="12.75" customHeight="1">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ht="12.75" customHeight="1">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ht="12.75" customHeight="1">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ht="12.75" customHeight="1">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ht="12.75" customHeight="1">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ht="12.75" customHeight="1">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ht="12.75" customHeight="1">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ht="12.75" customHeight="1">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ht="12.75" customHeight="1">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ht="12.75" customHeight="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ht="12.75" customHeight="1">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ht="12.75" customHeight="1">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ht="12.75" customHeight="1">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ht="12.75" customHeight="1">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ht="12.75" customHeight="1">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ht="12.75" customHeight="1">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ht="12.75" customHeight="1">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ht="12.75" customHeight="1">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ht="12.75" customHeight="1">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ht="12.75" customHeight="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ht="12.75" customHeight="1">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ht="12.75" customHeight="1">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ht="12.75" customHeight="1">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ht="12.75" customHeight="1">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ht="12.75" customHeight="1">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ht="12.75" customHeight="1">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ht="12.75" customHeight="1">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ht="12.75" customHeight="1">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ht="12.75" customHeight="1">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ht="12.75" customHeight="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ht="12.75" customHeight="1">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ht="12.75" customHeight="1">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ht="12.75" customHeight="1">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ht="12.75" customHeight="1">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ht="12.75" customHeight="1">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ht="12.75" customHeight="1">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ht="12.75" customHeight="1">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ht="12.75" customHeight="1">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ht="12.75" customHeight="1">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ht="12.75" customHeight="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ht="12.75" customHeight="1">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ht="12.75" customHeight="1">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ht="12.75" customHeight="1">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ht="12.75" customHeight="1">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ht="12.75" customHeight="1">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ht="12.75" customHeight="1">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ht="12.75" customHeight="1">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ht="12.75" customHeight="1">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ht="12.75" customHeight="1">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ht="12.75" customHeight="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ht="12.75" customHeight="1">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ht="12.75" customHeight="1">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ht="12.75" customHeight="1">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ht="12.75" customHeight="1">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ht="12.75" customHeight="1">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ht="12.75" customHeight="1">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ht="12.75" customHeight="1">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ht="12.75" customHeight="1">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ht="12.75" customHeight="1">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ht="12.75" customHeight="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ht="12.75" customHeight="1">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ht="12.75" customHeight="1">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ht="12.75" customHeight="1">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ht="12.75" customHeight="1">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ht="12.75" customHeight="1">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ht="12.75" customHeight="1">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ht="12.75" customHeight="1">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ht="12.75" customHeight="1">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ht="12.75" customHeight="1">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ht="12.75" customHeight="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ht="12.75" customHeight="1">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ht="12.75" customHeight="1">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ht="12.75" customHeight="1">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ht="12.75" customHeight="1">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ht="12.75" customHeight="1">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ht="12.75" customHeight="1">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ht="12.75" customHeight="1">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ht="12.75" customHeight="1">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ht="12.75" customHeight="1">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ht="12.75" customHeight="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ht="12.75" customHeight="1">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ht="12.75" customHeight="1">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ht="12.75" customHeight="1">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ht="12.75" customHeight="1">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ht="12.75" customHeight="1">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ht="12.75" customHeight="1">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ht="12.75" customHeight="1">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ht="12.75" customHeight="1">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ht="12.75" customHeight="1">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ht="12.75" customHeight="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ht="12.75" customHeight="1">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ht="12.75" customHeight="1">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ht="12.75" customHeight="1">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ht="12.75" customHeight="1">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ht="12.75" customHeight="1">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ht="12.75" customHeight="1">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ht="12.75" customHeight="1">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ht="12.75" customHeight="1">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ht="12.75" customHeight="1">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ht="12.75" customHeight="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ht="12.75" customHeight="1">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ht="12.75" customHeight="1">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ht="12.75" customHeight="1">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ht="12.75" customHeight="1">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ht="12.75" customHeight="1">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ht="12.75" customHeight="1">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ht="12.75" customHeight="1">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ht="12.75" customHeight="1">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ht="12.75" customHeight="1">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ht="12.75" customHeight="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ht="12.75" customHeight="1">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ht="12.75" customHeight="1">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ht="12.75" customHeight="1">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ht="12.75" customHeight="1">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ht="12.75" customHeight="1">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ht="12.75" customHeight="1">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ht="12.75" customHeight="1">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ht="12.75" customHeight="1">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ht="12.75" customHeight="1">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ht="12.75" customHeight="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ht="12.75" customHeight="1">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ht="12.75" customHeight="1">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ht="12.75" customHeight="1">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ht="12.75" customHeight="1">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ht="12.75" customHeight="1">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ht="12.75" customHeight="1">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ht="12.75" customHeight="1">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ht="12.75" customHeight="1">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ht="12.75" customHeight="1">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ht="12.75" customHeight="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ht="12.75" customHeight="1">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ht="12.75" customHeight="1">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ht="12.75" customHeight="1">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ht="12.75" customHeight="1">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ht="12.75" customHeight="1">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ht="12.75" customHeight="1">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ht="12.75" customHeight="1">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ht="12.75" customHeight="1">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ht="12.75" customHeight="1">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ht="12.75" customHeight="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ht="12.75" customHeight="1">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ht="12.75" customHeight="1">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ht="12.75" customHeight="1">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ht="12.75" customHeight="1">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ht="12.75" customHeight="1">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ht="12.75" customHeight="1">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ht="12.75" customHeight="1">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ht="12.75" customHeight="1">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ht="12.75" customHeight="1">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ht="12.75" customHeight="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ht="12.75" customHeight="1">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ht="12.75" customHeight="1">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ht="12.75" customHeight="1">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ht="12.75" customHeight="1">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ht="12.75" customHeight="1">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ht="12.75" customHeight="1">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ht="12.75" customHeight="1">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ht="12.75" customHeight="1">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ht="12.75" customHeight="1">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ht="12.75" customHeight="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ht="12.75" customHeight="1">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ht="12.75" customHeight="1">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ht="12.75" customHeight="1">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ht="12.75" customHeight="1">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ht="12.75" customHeight="1">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ht="12.75" customHeight="1">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ht="12.75" customHeight="1">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ht="12.75" customHeight="1">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ht="12.75" customHeight="1">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ht="12.75" customHeight="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ht="12.75" customHeight="1">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ht="12.75" customHeight="1">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ht="12.75" customHeight="1">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ht="12.75" customHeight="1">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ht="12.75" customHeight="1">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ht="12.75" customHeight="1">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ht="12.75" customHeight="1">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ht="12.75" customHeight="1">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ht="12.75" customHeight="1">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ht="12.75" customHeight="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ht="12.75" customHeight="1">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ht="12.75" customHeight="1">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ht="12.75" customHeight="1">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ht="12.75" customHeight="1">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ht="12.75" customHeight="1">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ht="12.75" customHeight="1">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ht="12.75" customHeight="1">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ht="12.75" customHeight="1">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ht="12.75" customHeight="1">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ht="12.75" customHeight="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ht="12.75" customHeight="1">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ht="12.75" customHeight="1">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ht="12.75" customHeight="1">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ht="12.75" customHeight="1">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ht="12.75" customHeight="1">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ht="12.75" customHeight="1">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ht="12.75" customHeight="1">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ht="12.75" customHeight="1">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ht="12.75" customHeight="1">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ht="12.75" customHeight="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ht="12.75" customHeight="1">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ht="12.75" customHeight="1">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ht="12.75" customHeight="1">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ht="12.75" customHeight="1">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ht="12.75" customHeight="1">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ht="12.75" customHeight="1">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ht="12.75" customHeight="1">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ht="12.75" customHeight="1">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ht="12.75" customHeight="1">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ht="12.75" customHeight="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ht="12.75" customHeight="1">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ht="12.75" customHeight="1">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ht="12.75" customHeight="1">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ht="12.75" customHeight="1">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ht="12.75" customHeight="1">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ht="12.75" customHeight="1">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ht="12.75" customHeight="1">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ht="12.75" customHeight="1">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ht="12.75" customHeight="1">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ht="12.75" customHeight="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ht="12.75" customHeight="1">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ht="12.75" customHeight="1">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ht="12.75" customHeight="1">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ht="12.75" customHeight="1">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ht="12.75" customHeight="1">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ht="12.75" customHeight="1">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ht="12.75" customHeight="1">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ht="12.75" customHeight="1">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ht="12.75" customHeight="1">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ht="12.75" customHeight="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ht="12.75" customHeight="1">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ht="12.75" customHeight="1">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ht="12.75" customHeight="1">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ht="12.75" customHeight="1">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ht="12.75" customHeight="1">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ht="12.75" customHeight="1">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ht="12.75" customHeight="1">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ht="12.75" customHeight="1">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ht="12.75" customHeight="1">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ht="12.75" customHeight="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ht="12.75" customHeight="1">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ht="12.75" customHeight="1">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ht="12.75" customHeight="1">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ht="12.75" customHeight="1">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ht="12.75" customHeight="1">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ht="12.75" customHeight="1">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ht="12.75" customHeight="1">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ht="12.75" customHeight="1">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ht="12.75" customHeight="1">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ht="12.75" customHeight="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ht="12.75" customHeight="1">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ht="12.75" customHeight="1">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ht="12.75" customHeight="1">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ht="12.75" customHeight="1">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ht="12.75" customHeight="1">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ht="12.75" customHeight="1">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ht="12.75" customHeight="1">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ht="12.75" customHeight="1">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ht="12.75" customHeight="1">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ht="12.75" customHeight="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ht="12.75" customHeight="1">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ht="12.75" customHeight="1">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ht="12.75" customHeight="1">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ht="12.75" customHeight="1">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ht="12.75" customHeight="1">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ht="12.75" customHeight="1">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ht="12.75" customHeight="1">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ht="12.75" customHeight="1">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ht="12.75" customHeight="1">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ht="12.75" customHeight="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ht="12.75" customHeight="1">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ht="12.75" customHeight="1">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ht="12.75" customHeight="1">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ht="12.75" customHeight="1">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ht="12.75" customHeight="1">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ht="12.75" customHeight="1">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ht="12.75" customHeight="1">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ht="12.75" customHeight="1">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ht="12.75" customHeight="1">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ht="12.75" customHeight="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ht="12.75" customHeight="1">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ht="12.75" customHeight="1">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ht="12.75" customHeight="1">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ht="12.75" customHeight="1">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ht="12.75" customHeight="1">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ht="12.75" customHeight="1">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ht="12.75" customHeight="1">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ht="12.75" customHeight="1">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ht="12.75" customHeight="1">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ht="12.75" customHeight="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ht="12.75" customHeight="1">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ht="12.75" customHeight="1">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ht="12.75" customHeight="1">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ht="12.75" customHeight="1">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ht="12.75" customHeight="1">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ht="12.75" customHeight="1">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ht="12.75" customHeight="1">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ht="12.75" customHeight="1">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ht="12.75" customHeight="1">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ht="12.75" customHeight="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ht="12.75" customHeight="1">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ht="12.75" customHeight="1">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ht="12.75" customHeight="1">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ht="12.75" customHeight="1">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ht="12.75" customHeight="1">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ht="12.75" customHeight="1">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ht="12.75" customHeight="1">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ht="12.75" customHeight="1">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ht="12.75" customHeight="1">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ht="12.75" customHeight="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ht="12.75" customHeight="1">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ht="12.75" customHeight="1">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ht="12.75" customHeight="1">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ht="12.75" customHeight="1">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ht="12.75" customHeight="1">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ht="12.75" customHeight="1">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ht="12.75" customHeight="1">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ht="12.75" customHeight="1">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ht="12.75" customHeight="1">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ht="12.75" customHeight="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ht="12.75" customHeight="1">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ht="12.75" customHeight="1">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ht="12.75" customHeight="1">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ht="12.75" customHeight="1">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ht="12.75" customHeight="1">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ht="12.75" customHeight="1">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ht="12.75" customHeight="1">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ht="12.75" customHeight="1">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ht="12.75" customHeight="1">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ht="12.75" customHeight="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ht="12.75" customHeight="1">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ht="12.75" customHeight="1">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ht="12.75" customHeight="1">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ht="12.75" customHeight="1">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ht="12.75" customHeight="1">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ht="12.75" customHeight="1">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ht="12.75" customHeight="1">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ht="12.75" customHeight="1">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ht="12.75" customHeight="1">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ht="12.75" customHeight="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ht="12.75" customHeight="1">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ht="12.75" customHeight="1">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ht="12.75" customHeight="1">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ht="12.75" customHeight="1">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ht="12.75" customHeight="1">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ht="12.75" customHeight="1">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ht="12.75" customHeight="1">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ht="12.75" customHeight="1">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ht="12.75" customHeight="1">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ht="12.75" customHeight="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ht="12.75" customHeight="1">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ht="12.75" customHeight="1">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ht="12.75" customHeight="1">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ht="12.75" customHeight="1">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ht="12.75" customHeight="1">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ht="12.75" customHeight="1">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ht="12.75" customHeight="1">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ht="12.75" customHeight="1">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ht="12.75" customHeight="1">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ht="12.75" customHeight="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ht="12.75" customHeight="1">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ht="12.75" customHeight="1">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ht="12.75" customHeight="1">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ht="12.75" customHeight="1">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ht="12.75" customHeight="1">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ht="12.75" customHeight="1">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ht="12.75" customHeight="1">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ht="12.75" customHeight="1">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ht="12.75" customHeight="1">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ht="12.75" customHeight="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ht="12.75" customHeight="1">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ht="12.75" customHeight="1">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ht="12.75" customHeight="1">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ht="12.75" customHeight="1">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ht="12.75" customHeight="1">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ht="12.75" customHeight="1">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ht="12.75" customHeight="1">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ht="12.75" customHeight="1">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ht="12.75" customHeight="1">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ht="12.75" customHeight="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ht="12.75" customHeight="1">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ht="12.75" customHeight="1">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ht="12.75" customHeight="1">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ht="12.75" customHeight="1">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ht="12.75" customHeight="1">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ht="12.75" customHeight="1">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ht="12.75" customHeight="1">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ht="12.75" customHeight="1">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ht="12.75" customHeight="1">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ht="12.75" customHeight="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ht="12.75" customHeight="1">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ht="12.75" customHeight="1">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ht="12.75" customHeight="1">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ht="12.75" customHeight="1">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ht="12.75" customHeight="1">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ht="12.75" customHeight="1">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ht="12.75" customHeight="1">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ht="12.75" customHeight="1">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ht="12.75" customHeight="1">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ht="12.75" customHeight="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ht="12.75" customHeight="1">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ht="12.75" customHeight="1">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ht="12.75" customHeight="1">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ht="12.75" customHeight="1">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ht="12.75" customHeight="1">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ht="12.75" customHeight="1">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ht="12.75" customHeight="1">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ht="12.75" customHeight="1">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ht="12.75" customHeight="1">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ht="12.75" customHeight="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ht="12.75" customHeight="1">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ht="12.75" customHeight="1">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ht="12.75" customHeight="1">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ht="12.75" customHeight="1">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ht="12.75" customHeight="1">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ht="12.75" customHeight="1">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ht="12.75" customHeight="1">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ht="12.75" customHeight="1">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ht="12.75" customHeight="1">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ht="12.75" customHeight="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ht="12.75" customHeight="1">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ht="12.75" customHeight="1">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ht="12.75" customHeight="1">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ht="12.75" customHeight="1">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ht="12.75" customHeight="1">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ht="12.75" customHeight="1">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ht="12.75" customHeight="1">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ht="12.75" customHeight="1">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ht="12.75" customHeight="1">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ht="12.75" customHeight="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ht="12.75" customHeight="1">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ht="12.75" customHeight="1">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ht="12.75" customHeight="1">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ht="12.75" customHeight="1">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ht="12.75" customHeight="1">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ht="12.75" customHeight="1">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ht="12.75" customHeight="1">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ht="12.75" customHeight="1">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ht="12.75" customHeight="1">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ht="12.75" customHeight="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ht="12.75" customHeight="1">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ht="12.75" customHeight="1">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ht="12.75" customHeight="1">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ht="12.75" customHeight="1">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ht="12.75" customHeight="1">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ht="12.75" customHeight="1">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ht="12.75" customHeight="1">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ht="12.75" customHeight="1">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ht="12.75" customHeight="1">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ht="12.75" customHeight="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ht="12.75" customHeight="1">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ht="12.75" customHeight="1">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ht="12.75" customHeight="1">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ht="12.75" customHeight="1">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ht="12.75" customHeight="1">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ht="12.75" customHeight="1">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ht="12.75" customHeight="1">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ht="12.75" customHeight="1">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ht="12.75" customHeight="1">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ht="12.75" customHeight="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ht="12.75" customHeight="1">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ht="12.75" customHeight="1">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ht="12.75" customHeight="1">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ht="12.75" customHeight="1">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ht="12.75" customHeight="1">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ht="12.75" customHeight="1">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ht="12.75" customHeight="1">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ht="12.75" customHeight="1">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ht="12.75" customHeight="1">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ht="12.75" customHeight="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ht="12.75" customHeight="1">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ht="12.75" customHeight="1">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ht="12.75" customHeight="1">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ht="12.75" customHeight="1">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ht="12.75" customHeight="1">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ht="12.75" customHeight="1">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ht="12.75" customHeight="1">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ht="12.75" customHeight="1">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ht="12.75" customHeight="1">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ht="12.75" customHeight="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ht="12.75" customHeight="1">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ht="12.75" customHeight="1">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ht="12.75" customHeight="1">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ht="12.75" customHeight="1">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ht="12.75" customHeight="1">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ht="12.75" customHeight="1">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ht="12.75" customHeight="1">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ht="12.75" customHeight="1">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ht="12.75" customHeight="1">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ht="12.75" customHeight="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ht="12.75" customHeight="1">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ht="12.75" customHeight="1">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ht="12.75" customHeight="1">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ht="12.75" customHeight="1">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ht="12.75" customHeight="1">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ht="12.75" customHeight="1">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ht="12.75" customHeight="1">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ht="12.75" customHeight="1">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ht="12.75" customHeight="1">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ht="12.75" customHeight="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ht="12.75" customHeight="1">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ht="12.75" customHeight="1">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ht="12.75" customHeight="1">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ht="12.75" customHeight="1">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ht="12.75" customHeight="1">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ht="12.75" customHeight="1">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ht="12.75" customHeight="1">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ht="12.75" customHeight="1">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ht="12.75" customHeight="1">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ht="12.75" customHeight="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ht="12.75" customHeight="1">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ht="12.75" customHeight="1">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ht="12.75" customHeight="1">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ht="12.75" customHeight="1">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ht="12.75" customHeight="1">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ht="12.75" customHeight="1">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ht="12.75" customHeight="1">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ht="12.75" customHeight="1">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ht="12.75" customHeight="1">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ht="12.75" customHeight="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ht="12.75" customHeight="1">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ht="12.75" customHeight="1">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ht="12.75" customHeight="1">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ht="12.75" customHeight="1">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ht="12.75" customHeight="1">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ht="12.75" customHeight="1">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ht="12.75" customHeight="1">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ht="12.75" customHeight="1">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ht="12.75" customHeight="1">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ht="12.75" customHeight="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ht="12.75" customHeight="1">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ht="12.75" customHeight="1">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ht="12.75" customHeight="1">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ht="12.75" customHeight="1">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ht="12.75" customHeight="1">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ht="12.75" customHeight="1">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ht="12.75" customHeight="1">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ht="12.75" customHeight="1">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ht="12.75" customHeight="1">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ht="12.75" customHeight="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ht="12.75" customHeight="1">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ht="12.75" customHeight="1">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ht="12.75" customHeight="1">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ht="12.75" customHeight="1">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ht="12.75" customHeight="1">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ht="12.75" customHeight="1">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ht="12.75" customHeight="1">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ht="12.75" customHeight="1">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ht="12.75" customHeight="1">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ht="12.75" customHeight="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ht="12.75" customHeight="1">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ht="12.75" customHeight="1">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ht="12.75" customHeight="1">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ht="12.75" customHeight="1">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ht="12.75" customHeight="1">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ht="12.75" customHeight="1">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ht="12.75" customHeight="1">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ht="12.75" customHeight="1">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ht="12.75" customHeight="1">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ht="12.75" customHeight="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ht="12.75" customHeight="1">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ht="12.75" customHeight="1">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ht="12.75" customHeight="1">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ht="12.75" customHeight="1">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ht="12.75" customHeight="1">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ht="12.75" customHeight="1">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ht="12.75" customHeight="1">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ht="12.75" customHeight="1">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ht="12.75" customHeight="1">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ht="12.75" customHeight="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ht="12.75" customHeight="1">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ht="12.75" customHeight="1">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ht="12.75" customHeight="1">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ht="12.75" customHeight="1">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ht="12.75" customHeight="1">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ht="12.75" customHeight="1">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ht="12.75" customHeight="1">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ht="12.75" customHeight="1">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ht="12.75" customHeight="1">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ht="12.75" customHeight="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ht="12.75" customHeight="1">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ht="12.75" customHeight="1">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ht="12.75" customHeight="1">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ht="12.75" customHeight="1">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ht="12.75" customHeight="1">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ht="12.75" customHeight="1">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ht="12.75" customHeight="1">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ht="12.75" customHeight="1">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ht="12.75" customHeight="1">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ht="12.75" customHeight="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ht="12.75" customHeight="1">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ht="12.75" customHeight="1">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ht="12.75" customHeight="1">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ht="12.75" customHeight="1">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ht="12.75" customHeight="1">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ht="12.75" customHeight="1">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ht="12.75" customHeight="1">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ht="12.75" customHeight="1">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ht="12.75" customHeight="1">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ht="12.75" customHeight="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ht="12.75" customHeight="1">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ht="12.75" customHeight="1">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ht="12.75" customHeight="1">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ht="12.75" customHeight="1">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ht="12.75" customHeight="1">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ht="12.75" customHeight="1">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ht="12.75" customHeight="1">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ht="12.75" customHeight="1">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ht="12.75" customHeight="1">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ht="12.75" customHeight="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ht="12.75" customHeight="1">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ht="12.75" customHeight="1">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ht="12.75" customHeight="1">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ht="12.75" customHeight="1">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ht="12.75" customHeight="1">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ht="12.75" customHeight="1">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ht="12.75" customHeight="1">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ht="12.75" customHeight="1">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ht="12.75" customHeight="1">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ht="12.75" customHeight="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ht="12.75" customHeight="1">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ht="12.75" customHeight="1">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ht="12.75" customHeight="1">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ht="12.75" customHeight="1">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ht="12.75" customHeight="1">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ht="12.75" customHeight="1">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ht="12.75" customHeight="1">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ht="12.75" customHeight="1">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ht="12.75" customHeight="1">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ht="12.75" customHeight="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ht="12.75" customHeight="1">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ht="12.75" customHeight="1">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ht="12.75" customHeight="1">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ht="12.75" customHeight="1">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ht="12.75" customHeight="1">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ht="12.75" customHeight="1">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ht="12.75" customHeight="1">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ht="12.75" customHeight="1">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ht="12.75" customHeight="1">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ht="12.75" customHeight="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ht="12.75" customHeight="1">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ht="12.75" customHeight="1">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ht="12.75" customHeight="1">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ht="12.75" customHeight="1">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ht="12.75" customHeight="1">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ht="12.75" customHeight="1">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ht="12.75" customHeight="1">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ht="12.75" customHeight="1">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ht="12.75" customHeight="1">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ht="12.75" customHeight="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ht="12.75" customHeight="1">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ht="12.75" customHeight="1">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ht="12.75" customHeight="1">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ht="12.75" customHeight="1">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ht="12.75" customHeight="1">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ht="12.75" customHeight="1">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ht="12.75" customHeight="1">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ht="12.75" customHeight="1">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ht="12.75" customHeight="1">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ht="12.75" customHeight="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ht="12.75" customHeight="1">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ht="12.75" customHeight="1">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ht="12.75" customHeight="1">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ht="12.75" customHeight="1">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ht="12.75" customHeight="1">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ht="12.75" customHeight="1">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ht="12.75" customHeight="1">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ht="12.75" customHeight="1">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ht="12.75" customHeight="1">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ht="12.75" customHeight="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ht="12.75" customHeight="1">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ht="12.75" customHeight="1">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ht="12.75" customHeight="1">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ht="12.75" customHeight="1">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ht="12.75" customHeight="1">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ht="12.75" customHeight="1">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ht="12.75" customHeight="1">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ht="12.75" customHeight="1">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ht="12.75" customHeight="1">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ht="12.75" customHeight="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ht="12.75" customHeight="1">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ht="12.75" customHeight="1">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ht="12.75" customHeight="1">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ht="12.75" customHeight="1">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ht="12.75" customHeight="1">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ht="12.75" customHeight="1">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ht="12.75" customHeight="1">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ht="12.75" customHeight="1">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ht="12.75" customHeight="1">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ht="12.75" customHeight="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ht="12.75" customHeight="1">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ht="12.75" customHeight="1">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ht="12.75" customHeight="1">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ht="12.75" customHeight="1">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ht="12.75" customHeight="1">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ht="12.75" customHeight="1">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ht="12.75" customHeight="1">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ht="12.75" customHeight="1">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ht="12.75" customHeight="1">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ht="12.75" customHeight="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ht="12.75" customHeight="1">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ht="12.75" customHeight="1">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ht="12.75" customHeight="1">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ht="12.75" customHeight="1">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ht="12.75" customHeight="1">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ht="12.75" customHeight="1">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ht="12.75" customHeight="1">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ht="12.75" customHeight="1">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ht="12.75" customHeight="1">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ht="12.75" customHeight="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ht="12.75" customHeight="1">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ht="12.75" customHeight="1">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ht="12.75" customHeight="1">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ht="12.75" customHeight="1">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ht="12.75" customHeight="1">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ht="12.75" customHeight="1">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ht="12.75" customHeight="1">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ht="12.75" customHeight="1">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ht="12.75" customHeight="1">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ht="12.75" customHeight="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ht="12.75" customHeight="1">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ht="12.75" customHeight="1">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ht="12.75" customHeight="1">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ht="12.75" customHeight="1">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ht="12.75" customHeight="1">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ht="12.75" customHeight="1">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ht="12.75" customHeight="1">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ht="12.75" customHeight="1">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ht="12.75" customHeight="1">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ht="12.75" customHeight="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ht="12.75" customHeight="1">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ht="12.75" customHeight="1">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ht="12.75" customHeight="1">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ht="12.75" customHeight="1">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ht="12.75" customHeight="1">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ht="12.75" customHeight="1">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ht="12.75" customHeight="1">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ht="12.75" customHeight="1">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ht="12.75" customHeight="1">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ht="12.75" customHeight="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ht="12.75" customHeight="1">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ht="12.75" customHeight="1">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ht="12.75" customHeight="1">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ht="12.75" customHeight="1">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ht="12.75" customHeight="1">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ht="12.75" customHeight="1">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ht="12.75" customHeight="1">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ht="12.75" customHeight="1">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ht="12.75" customHeight="1">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ht="12.75" customHeight="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ht="12.75" customHeight="1">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ht="12.75" customHeight="1">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ht="12.75" customHeight="1">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ht="12.75" customHeight="1">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ht="12.75" customHeight="1">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ht="12.75" customHeight="1">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ht="12.75" customHeight="1">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ht="12.75" customHeight="1">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ht="12.75" customHeight="1">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ht="12.75" customHeight="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ht="12.75" customHeight="1">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ht="12.75" customHeight="1">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ht="12.75" customHeight="1">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ht="12.75" customHeight="1">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ht="12.75" customHeight="1">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ht="12.75" customHeight="1">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ht="12.75" customHeight="1">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ht="12.75" customHeight="1">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ht="12.75" customHeight="1">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ht="12.75" customHeight="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ht="12.75" customHeight="1">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ht="12.75" customHeight="1">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ht="12.75" customHeight="1">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ht="12.75" customHeight="1">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ht="12.75" customHeight="1">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ht="12.75" customHeight="1">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ht="12.75" customHeight="1">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ht="12.75" customHeight="1">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ht="12.75" customHeight="1">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ht="12.75" customHeight="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ht="12.75" customHeight="1">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ht="12.75" customHeight="1">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ht="12.75" customHeight="1">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ht="12.75" customHeight="1">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ht="12.75" customHeight="1">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ht="12.75" customHeight="1">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ht="12.75" customHeight="1">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ht="12.75" customHeight="1">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ht="12.75" customHeight="1">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ht="12.75" customHeight="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ht="12.75" customHeight="1">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ht="12.75" customHeight="1">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ht="12.75" customHeight="1">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ht="12.75" customHeight="1">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ht="12.75" customHeight="1">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ht="12.75" customHeight="1">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ht="12.75" customHeight="1">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ht="12.75" customHeight="1">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ht="12.75" customHeight="1">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ht="12.75" customHeight="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ht="12.75" customHeight="1">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ht="12.75" customHeight="1">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ht="12.75" customHeight="1">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ht="12.75" customHeight="1">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ht="12.75" customHeight="1">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ht="12.75" customHeight="1">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ht="12.75" customHeight="1">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ht="12.75" customHeight="1">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ht="12.75" customHeight="1">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ht="12.75" customHeight="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ht="12.75" customHeight="1">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ht="12.75" customHeight="1">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ht="12.75" customHeight="1">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ht="12.75" customHeight="1">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ht="12.75" customHeight="1">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ht="12.75" customHeight="1">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ht="12.75" customHeight="1">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ht="12.75" customHeight="1">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ht="12.75" customHeight="1">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ht="12.75" customHeight="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ht="12.75" customHeight="1">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ht="12.75" customHeight="1">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ht="12.75" customHeight="1">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ht="12.75" customHeight="1">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ht="12.75" customHeight="1">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ht="12.75" customHeight="1">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ht="12.75" customHeight="1">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ht="12.75" customHeight="1">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ht="12.75" customHeight="1">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ht="12.75" customHeight="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ht="12.75" customHeight="1">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ht="12.75" customHeight="1">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ht="12.75" customHeight="1">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ht="12.75" customHeight="1">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ht="12.75" customHeight="1">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ht="12.75" customHeight="1">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ht="12.75" customHeight="1">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ht="12.75" customHeight="1">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ht="12.75" customHeight="1">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ht="12.75" customHeight="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ht="12.75" customHeight="1">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ht="12.75" customHeight="1">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ht="12.75" customHeight="1">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ht="12.75" customHeight="1">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ht="12.75" customHeight="1">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ht="12.75" customHeight="1">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ht="12.75" customHeight="1">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ht="12.75" customHeight="1">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ht="12.75" customHeight="1">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ht="12.75" customHeight="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ht="12.75" customHeight="1">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ht="12.75" customHeight="1">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ht="12.75" customHeight="1">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ht="12.75" customHeight="1">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ht="12.75" customHeight="1">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ht="12.75" customHeight="1">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ht="12.75" customHeight="1">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ht="12.75" customHeight="1">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ht="12.75" customHeight="1">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ht="12.75" customHeight="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ht="12.75" customHeight="1">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ht="12.75" customHeight="1">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ht="12.75" customHeight="1">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ht="12.75" customHeight="1">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ht="12.75" customHeight="1">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ht="12.75" customHeight="1">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ht="12.75" customHeight="1">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ht="12.75" customHeight="1">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ht="12.75" customHeight="1">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ht="12.75" customHeight="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ht="12.75" customHeight="1">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ht="12.75" customHeight="1">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ht="12.75" customHeight="1">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ht="12.75" customHeight="1">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ht="12.75" customHeight="1">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ht="12.75" customHeight="1">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ht="12.75" customHeight="1">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ht="12.75" customHeight="1">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ht="12.75" customHeight="1">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ht="12.75" customHeight="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ht="12.75" customHeight="1">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ht="12.75" customHeight="1">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ht="12.75" customHeight="1">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ht="12.75" customHeight="1">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ht="12.75" customHeight="1">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ht="12.75" customHeight="1">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ht="12.75" customHeight="1">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ht="12.75" customHeight="1">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ht="12.75" customHeight="1">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ht="12.75" customHeight="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ht="12.75" customHeight="1">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ht="12.75" customHeight="1">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ht="12.75" customHeight="1">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ht="12.75" customHeight="1">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ht="12.75" customHeight="1">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ht="12.75" customHeight="1">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ht="12.75" customHeight="1">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ht="12.75" customHeight="1">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ht="12.75" customHeight="1">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ht="12.75" customHeight="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ht="12.75" customHeight="1">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ht="12.75" customHeight="1">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ht="12.75" customHeight="1">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ht="12.75" customHeight="1">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ht="12.75" customHeight="1">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ht="12.75" customHeight="1">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ht="12.75" customHeight="1">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ht="12.75" customHeight="1">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ht="12.75" customHeight="1">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sheetData>
  <mergeCells count="6">
    <mergeCell ref="A1:D1"/>
    <mergeCell ref="A3:D3"/>
    <mergeCell ref="A5:D5"/>
    <mergeCell ref="A18:D18"/>
    <mergeCell ref="A31:D31"/>
    <mergeCell ref="A44:D44"/>
  </mergeCells>
  <conditionalFormatting sqref="D16">
    <cfRule type="cellIs" dxfId="1" priority="1" stopIfTrue="1" operator="equal">
      <formula>"CORREGIR DIFERENCIA"</formula>
    </cfRule>
  </conditionalFormatting>
  <conditionalFormatting sqref="D16">
    <cfRule type="cellIs" dxfId="2" priority="2" stopIfTrue="1" operator="equal">
      <formula>"PRESUPUESTO VALIDADO"</formula>
    </cfRule>
  </conditionalFormatting>
  <conditionalFormatting sqref="D29">
    <cfRule type="cellIs" dxfId="1" priority="3" stopIfTrue="1" operator="equal">
      <formula>"CORREGIR DIFERENCIA"</formula>
    </cfRule>
  </conditionalFormatting>
  <conditionalFormatting sqref="D29">
    <cfRule type="cellIs" dxfId="2" priority="4" stopIfTrue="1" operator="equal">
      <formula>"PRESUPUESTO VALIDADO"</formula>
    </cfRule>
  </conditionalFormatting>
  <conditionalFormatting sqref="D42:D43">
    <cfRule type="cellIs" dxfId="1" priority="5" stopIfTrue="1" operator="equal">
      <formula>"CORREGIR DIFERENCIA"</formula>
    </cfRule>
  </conditionalFormatting>
  <conditionalFormatting sqref="D42:D43">
    <cfRule type="cellIs" dxfId="2" priority="6" stopIfTrue="1" operator="equal">
      <formula>"PRESUPUESTO VALIDADO"</formula>
    </cfRule>
  </conditionalFormatting>
  <conditionalFormatting sqref="D55">
    <cfRule type="cellIs" dxfId="1" priority="7" stopIfTrue="1" operator="equal">
      <formula>"CORREGIR DIFERENCIA"</formula>
    </cfRule>
  </conditionalFormatting>
  <conditionalFormatting sqref="D55">
    <cfRule type="cellIs" dxfId="2" priority="8" stopIfTrue="1" operator="equal">
      <formula>"PRESUPUESTO VALIDADO"</formula>
    </cfRule>
  </conditionalFormatting>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1999-03-29T20:02:48Z</dcterms:created>
  <dc:creator>FONDEF</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0x010100B320A6865594E542AE6FFA3BA7F49FDA</vt:lpwstr>
  </property>
  <property fmtid="{D5CDD505-2E9C-101B-9397-08002B2CF9AE}" pid="3" name="PublishingExpirationDate">
    <vt:lpwstr/>
  </property>
  <property fmtid="{D5CDD505-2E9C-101B-9397-08002B2CF9AE}" pid="4" name="PublishingStartDate">
    <vt:lpwstr/>
  </property>
  <property fmtid="{D5CDD505-2E9C-101B-9397-08002B2CF9AE}" pid="5" name="LikesCount">
    <vt:lpwstr/>
  </property>
  <property fmtid="{D5CDD505-2E9C-101B-9397-08002B2CF9AE}" pid="6" name="Ratings">
    <vt:lpwstr/>
  </property>
  <property fmtid="{D5CDD505-2E9C-101B-9397-08002B2CF9AE}" pid="7" name="LikedBy">
    <vt:lpwstr/>
  </property>
  <property fmtid="{D5CDD505-2E9C-101B-9397-08002B2CF9AE}" pid="8" name="RatedBy">
    <vt:lpwstr/>
  </property>
  <property fmtid="{D5CDD505-2E9C-101B-9397-08002B2CF9AE}" pid="9" name="xd_Signature">
    <vt:lpwstr/>
  </property>
  <property fmtid="{D5CDD505-2E9C-101B-9397-08002B2CF9AE}" pid="10" name="display_urn:schemas-microsoft-com:office:office#Editor">
    <vt:lpwstr>Pamela Reyes Davey</vt:lpwstr>
  </property>
  <property fmtid="{D5CDD505-2E9C-101B-9397-08002B2CF9AE}" pid="11" name="Order">
    <vt:lpwstr>144791500.000000</vt:lpwstr>
  </property>
  <property fmtid="{D5CDD505-2E9C-101B-9397-08002B2CF9AE}" pid="12" name="xd_ProgID">
    <vt:lpwstr/>
  </property>
  <property fmtid="{D5CDD505-2E9C-101B-9397-08002B2CF9AE}" pid="13" name="_ExtendedDescription">
    <vt:lpwstr/>
  </property>
  <property fmtid="{D5CDD505-2E9C-101B-9397-08002B2CF9AE}" pid="14" name="SharedWithUsers">
    <vt:lpwstr/>
  </property>
  <property fmtid="{D5CDD505-2E9C-101B-9397-08002B2CF9AE}" pid="15" name="display_urn:schemas-microsoft-com:office:office#Author">
    <vt:lpwstr>Pamela Reyes Davey</vt:lpwstr>
  </property>
  <property fmtid="{D5CDD505-2E9C-101B-9397-08002B2CF9AE}" pid="16" name="ComplianceAssetId">
    <vt:lpwstr/>
  </property>
  <property fmtid="{D5CDD505-2E9C-101B-9397-08002B2CF9AE}" pid="17" name="TemplateUrl">
    <vt:lpwstr/>
  </property>
  <property fmtid="{D5CDD505-2E9C-101B-9397-08002B2CF9AE}" pid="18" name="MediaLengthInSeconds">
    <vt:lpwstr/>
  </property>
  <property fmtid="{D5CDD505-2E9C-101B-9397-08002B2CF9AE}" pid="19" name="MediaServiceImageTags">
    <vt:lpwstr/>
  </property>
</Properties>
</file>